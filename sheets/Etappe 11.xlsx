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.kort\Downloads\"/>
    </mc:Choice>
  </mc:AlternateContent>
  <xr:revisionPtr revIDLastSave="0" documentId="8_{70F615E7-5441-472D-B3CD-C1A82E2C8FD1}" xr6:coauthVersionLast="47" xr6:coauthVersionMax="47" xr10:uidLastSave="{00000000-0000-0000-0000-000000000000}"/>
  <bookViews>
    <workbookView xWindow="28680" yWindow="-120" windowWidth="29040" windowHeight="15720" tabRatio="892" firstSheet="1" activeTab="1" xr2:uid="{00000000-000D-0000-FFFF-FFFF00000000}"/>
  </bookViews>
  <sheets>
    <sheet name="RandomTeams" sheetId="27" state="hidden" r:id="rId1"/>
    <sheet name="email" sheetId="5" r:id="rId2"/>
    <sheet name="Sheet1" sheetId="37" state="hidden" r:id="rId3"/>
    <sheet name="Module1" sheetId="15" state="veryHidden" r:id=""/>
  </sheets>
  <definedNames>
    <definedName name="_xlnm._FilterDatabase" localSheetId="1" hidden="1">email!$A$2:$L$2</definedName>
    <definedName name="_xlnm._FilterDatabase" localSheetId="2" hidden="1">Sheet1!$A$3:$I$266</definedName>
    <definedName name="Dagscorerenners">#REF!</definedName>
    <definedName name="Gekozenrenners">#REF!</definedName>
    <definedName name="Renners">#REF!</definedName>
    <definedName name="Scorerenners">#REF!</definedName>
    <definedName name="Uitslagenrenners">#REF!</definedName>
    <definedName name="uitvalle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7" l="1"/>
  <c r="G3" i="37" l="1"/>
  <c r="E3" i="37"/>
  <c r="D3" i="37"/>
  <c r="F3" i="37"/>
  <c r="H3" i="37"/>
  <c r="A51" i="37" l="1"/>
  <c r="I51" i="37" s="1"/>
  <c r="A9" i="37"/>
  <c r="I9" i="37" s="1"/>
  <c r="A24" i="37"/>
  <c r="I24" i="37" s="1"/>
  <c r="A17" i="37"/>
  <c r="I17" i="37" s="1"/>
  <c r="A8" i="37"/>
  <c r="I8" i="37" s="1"/>
  <c r="A99" i="37"/>
  <c r="I99" i="37" s="1"/>
  <c r="A69" i="37"/>
  <c r="I69" i="37" s="1"/>
  <c r="A117" i="37"/>
  <c r="I117" i="37" s="1"/>
  <c r="A64" i="37"/>
  <c r="I64" i="37" s="1"/>
  <c r="A30" i="37"/>
  <c r="I30" i="37" s="1"/>
  <c r="A35" i="37"/>
  <c r="I35" i="37" s="1"/>
  <c r="A28" i="37"/>
  <c r="I28" i="37" s="1"/>
  <c r="A173" i="37"/>
  <c r="I173" i="37" s="1"/>
  <c r="A85" i="37"/>
  <c r="I85" i="37" s="1"/>
  <c r="A23" i="37"/>
  <c r="I23" i="37" s="1"/>
  <c r="A154" i="37"/>
  <c r="I154" i="37" s="1"/>
  <c r="A72" i="37"/>
  <c r="I72" i="37" s="1"/>
  <c r="A243" i="37"/>
  <c r="I243" i="37" s="1"/>
  <c r="A172" i="37"/>
  <c r="I172" i="37" s="1"/>
  <c r="A45" i="37"/>
  <c r="I45" i="37" s="1"/>
  <c r="A34" i="37"/>
  <c r="I34" i="37" s="1"/>
  <c r="A107" i="37"/>
  <c r="I107" i="37" s="1"/>
  <c r="A16" i="37"/>
  <c r="I16" i="37" s="1"/>
  <c r="A137" i="37"/>
  <c r="I137" i="37" s="1"/>
  <c r="A240" i="37"/>
  <c r="I240" i="37" s="1"/>
  <c r="A223" i="37"/>
  <c r="I223" i="37" s="1"/>
  <c r="A164" i="37"/>
  <c r="I164" i="37" s="1"/>
  <c r="A174" i="37"/>
  <c r="I174" i="37" s="1"/>
  <c r="A220" i="37"/>
  <c r="I220" i="37" s="1"/>
  <c r="A60" i="37"/>
  <c r="I60" i="37" s="1"/>
  <c r="A235" i="37"/>
  <c r="I235" i="37" s="1"/>
  <c r="A178" i="37"/>
  <c r="I178" i="37" s="1"/>
  <c r="A259" i="37"/>
  <c r="I259" i="37" s="1"/>
  <c r="A52" i="37"/>
  <c r="I52" i="37" s="1"/>
  <c r="A226" i="37"/>
  <c r="I226" i="37" s="1"/>
  <c r="A242" i="37"/>
  <c r="I242" i="37" s="1"/>
  <c r="A191" i="37"/>
  <c r="I191" i="37" s="1"/>
  <c r="A25" i="37"/>
  <c r="I25" i="37" s="1"/>
  <c r="A68" i="37"/>
  <c r="I68" i="37" s="1"/>
  <c r="A73" i="37"/>
  <c r="I73" i="37" s="1"/>
  <c r="A82" i="37"/>
  <c r="I82" i="37" s="1"/>
  <c r="A106" i="37"/>
  <c r="I106" i="37" s="1"/>
  <c r="A123" i="37"/>
  <c r="I123" i="37" s="1"/>
  <c r="A136" i="37"/>
  <c r="I136" i="37" s="1"/>
  <c r="A203" i="37"/>
  <c r="I203" i="37" s="1"/>
  <c r="A36" i="37"/>
  <c r="I36" i="37" s="1"/>
  <c r="A187" i="37"/>
  <c r="I187" i="37" s="1"/>
  <c r="A40" i="37"/>
  <c r="I40" i="37" s="1"/>
  <c r="A90" i="37"/>
  <c r="I90" i="37" s="1"/>
  <c r="A165" i="37"/>
  <c r="I165" i="37" s="1"/>
  <c r="A179" i="37"/>
  <c r="I179" i="37" s="1"/>
  <c r="A58" i="37"/>
  <c r="I58" i="37" s="1"/>
  <c r="A13" i="37"/>
  <c r="I13" i="37" s="1"/>
  <c r="A233" i="37"/>
  <c r="I233" i="37" s="1"/>
  <c r="A231" i="37"/>
  <c r="I231" i="37" s="1"/>
  <c r="A151" i="37"/>
  <c r="I151" i="37" s="1"/>
  <c r="A192" i="37"/>
  <c r="I192" i="37" s="1"/>
  <c r="A21" i="37"/>
  <c r="I21" i="37" s="1"/>
  <c r="A81" i="37"/>
  <c r="I81" i="37" s="1"/>
  <c r="A232" i="37"/>
  <c r="I232" i="37" s="1"/>
  <c r="A65" i="37"/>
  <c r="I65" i="37" s="1"/>
  <c r="A184" i="37"/>
  <c r="I184" i="37" s="1"/>
  <c r="A262" i="37"/>
  <c r="I262" i="37" s="1"/>
  <c r="A4" i="37"/>
  <c r="I4" i="37" s="1"/>
  <c r="A55" i="37"/>
  <c r="I55" i="37" s="1"/>
  <c r="A142" i="37"/>
  <c r="I142" i="37" s="1"/>
  <c r="A61" i="37"/>
  <c r="I61" i="37" s="1"/>
  <c r="A264" i="37"/>
  <c r="I264" i="37" s="1"/>
  <c r="A130" i="37"/>
  <c r="I130" i="37" s="1"/>
  <c r="A26" i="37"/>
  <c r="I26" i="37" s="1"/>
  <c r="A221" i="37"/>
  <c r="I221" i="37" s="1"/>
  <c r="A29" i="37"/>
  <c r="I29" i="37" s="1"/>
  <c r="A104" i="37"/>
  <c r="I104" i="37" s="1"/>
  <c r="A116" i="37"/>
  <c r="I116" i="37" s="1"/>
  <c r="A20" i="37"/>
  <c r="I20" i="37" s="1"/>
  <c r="A89" i="37"/>
  <c r="I89" i="37" s="1"/>
  <c r="A168" i="37"/>
  <c r="I168" i="37" s="1"/>
  <c r="A62" i="37"/>
  <c r="I62" i="37" s="1"/>
  <c r="A87" i="37"/>
  <c r="I87" i="37" s="1"/>
  <c r="A50" i="37"/>
  <c r="I50" i="37" s="1"/>
  <c r="A124" i="37"/>
  <c r="I124" i="37" s="1"/>
  <c r="A59" i="37"/>
  <c r="I59" i="37" s="1"/>
  <c r="A200" i="37"/>
  <c r="I200" i="37" s="1"/>
  <c r="A103" i="37"/>
  <c r="I103" i="37" s="1"/>
  <c r="A224" i="37"/>
  <c r="I224" i="37" s="1"/>
  <c r="A131" i="37"/>
  <c r="I131" i="37" s="1"/>
  <c r="A74" i="37"/>
  <c r="I74" i="37" s="1"/>
  <c r="A194" i="37"/>
  <c r="I194" i="37" s="1"/>
  <c r="A196" i="37"/>
  <c r="I196" i="37" s="1"/>
  <c r="A159" i="37"/>
  <c r="I159" i="37" s="1"/>
  <c r="A253" i="37"/>
  <c r="I253" i="37" s="1"/>
  <c r="A14" i="37"/>
  <c r="I14" i="37" s="1"/>
  <c r="A92" i="37"/>
  <c r="I92" i="37" s="1"/>
  <c r="A102" i="37"/>
  <c r="I102" i="37" s="1"/>
  <c r="A126" i="37"/>
  <c r="I126" i="37" s="1"/>
  <c r="A207" i="37"/>
  <c r="I207" i="37" s="1"/>
  <c r="A145" i="37"/>
  <c r="I145" i="37" s="1"/>
  <c r="A6" i="37"/>
  <c r="I6" i="37" s="1"/>
  <c r="A39" i="37"/>
  <c r="I39" i="37" s="1"/>
  <c r="A263" i="37"/>
  <c r="I263" i="37" s="1"/>
  <c r="A38" i="37"/>
  <c r="I38" i="37" s="1"/>
  <c r="A76" i="37"/>
  <c r="I76" i="37" s="1"/>
  <c r="A261" i="37"/>
  <c r="I261" i="37" s="1"/>
  <c r="A257" i="37"/>
  <c r="I257" i="37" s="1"/>
  <c r="A108" i="37"/>
  <c r="I108" i="37" s="1"/>
  <c r="A46" i="37"/>
  <c r="I46" i="37" s="1"/>
  <c r="A11" i="37"/>
  <c r="I11" i="37" s="1"/>
  <c r="A190" i="37"/>
  <c r="I190" i="37" s="1"/>
  <c r="A175" i="37"/>
  <c r="I175" i="37" s="1"/>
  <c r="A193" i="37"/>
  <c r="I193" i="37" s="1"/>
  <c r="A109" i="37"/>
  <c r="I109" i="37" s="1"/>
  <c r="A115" i="37"/>
  <c r="I115" i="37" s="1"/>
  <c r="A171" i="37"/>
  <c r="I171" i="37" s="1"/>
  <c r="A53" i="37"/>
  <c r="I53" i="37" s="1"/>
  <c r="A48" i="37"/>
  <c r="I48" i="37" s="1"/>
  <c r="A119" i="37"/>
  <c r="I119" i="37" s="1"/>
  <c r="A216" i="37"/>
  <c r="I216" i="37" s="1"/>
  <c r="A56" i="37"/>
  <c r="I56" i="37" s="1"/>
  <c r="A77" i="37"/>
  <c r="I77" i="37" s="1"/>
  <c r="A97" i="37"/>
  <c r="I97" i="37" s="1"/>
  <c r="A95" i="37"/>
  <c r="I95" i="37" s="1"/>
  <c r="A22" i="37"/>
  <c r="I22" i="37" s="1"/>
  <c r="A63" i="37"/>
  <c r="I63" i="37" s="1"/>
  <c r="A169" i="37"/>
  <c r="I169" i="37" s="1"/>
  <c r="A182" i="37"/>
  <c r="I182" i="37" s="1"/>
  <c r="A88" i="37"/>
  <c r="I88" i="37" s="1"/>
  <c r="A176" i="37"/>
  <c r="I176" i="37" s="1"/>
  <c r="A147" i="37"/>
  <c r="I147" i="37" s="1"/>
  <c r="A198" i="37"/>
  <c r="I198" i="37" s="1"/>
  <c r="A31" i="37"/>
  <c r="I31" i="37" s="1"/>
  <c r="A149" i="37"/>
  <c r="I149" i="37" s="1"/>
  <c r="A57" i="37"/>
  <c r="I57" i="37" s="1"/>
  <c r="A96" i="37"/>
  <c r="I96" i="37" s="1"/>
  <c r="A127" i="37"/>
  <c r="I127" i="37" s="1"/>
  <c r="A10" i="37"/>
  <c r="I10" i="37" s="1"/>
  <c r="A241" i="37"/>
  <c r="I241" i="37" s="1"/>
  <c r="A114" i="37"/>
  <c r="I114" i="37" s="1"/>
  <c r="A105" i="37"/>
  <c r="I105" i="37" s="1"/>
  <c r="A180" i="37"/>
  <c r="I180" i="37" s="1"/>
  <c r="A128" i="37"/>
  <c r="I128" i="37" s="1"/>
  <c r="A244" i="37"/>
  <c r="I244" i="37" s="1"/>
  <c r="A138" i="37"/>
  <c r="I138" i="37" s="1"/>
  <c r="A112" i="37"/>
  <c r="I112" i="37" s="1"/>
  <c r="A110" i="37"/>
  <c r="I110" i="37" s="1"/>
  <c r="A260" i="37"/>
  <c r="I260" i="37" s="1"/>
  <c r="A166" i="37"/>
  <c r="I166" i="37" s="1"/>
  <c r="A238" i="37"/>
  <c r="I238" i="37" s="1"/>
  <c r="A245" i="37"/>
  <c r="I245" i="37" s="1"/>
  <c r="A205" i="37"/>
  <c r="I205" i="37" s="1"/>
  <c r="A141" i="37"/>
  <c r="I141" i="37" s="1"/>
  <c r="A265" i="37"/>
  <c r="I265" i="37" s="1"/>
  <c r="A84" i="37"/>
  <c r="I84" i="37" s="1"/>
  <c r="A33" i="37"/>
  <c r="I33" i="37" s="1"/>
  <c r="A75" i="37"/>
  <c r="I75" i="37" s="1"/>
  <c r="A157" i="37"/>
  <c r="I157" i="37" s="1"/>
  <c r="A211" i="37"/>
  <c r="I211" i="37" s="1"/>
  <c r="A201" i="37"/>
  <c r="I201" i="37" s="1"/>
  <c r="A204" i="37"/>
  <c r="I204" i="37" s="1"/>
  <c r="A183" i="37"/>
  <c r="I183" i="37" s="1"/>
  <c r="A206" i="37"/>
  <c r="I206" i="37" s="1"/>
  <c r="A239" i="37"/>
  <c r="I239" i="37" s="1"/>
  <c r="A139" i="37"/>
  <c r="I139" i="37" s="1"/>
  <c r="A258" i="37"/>
  <c r="I258" i="37" s="1"/>
  <c r="A167" i="37"/>
  <c r="I167" i="37" s="1"/>
  <c r="A255" i="37"/>
  <c r="I255" i="37" s="1"/>
  <c r="A71" i="37"/>
  <c r="I71" i="37" s="1"/>
  <c r="A150" i="37"/>
  <c r="I150" i="37" s="1"/>
  <c r="A12" i="37"/>
  <c r="I12" i="37" s="1"/>
  <c r="A86" i="37"/>
  <c r="I86" i="37" s="1"/>
  <c r="A186" i="37"/>
  <c r="I186" i="37" s="1"/>
  <c r="A18" i="37"/>
  <c r="I18" i="37" s="1"/>
  <c r="A160" i="37"/>
  <c r="I160" i="37" s="1"/>
  <c r="A19" i="37"/>
  <c r="I19" i="37" s="1"/>
  <c r="A70" i="37"/>
  <c r="I70" i="37" s="1"/>
  <c r="A161" i="37"/>
  <c r="I161" i="37" s="1"/>
  <c r="A93" i="37"/>
  <c r="I93" i="37" s="1"/>
  <c r="A54" i="37"/>
  <c r="I54" i="37" s="1"/>
  <c r="A148" i="37"/>
  <c r="I148" i="37" s="1"/>
  <c r="A37" i="37"/>
  <c r="I37" i="37" s="1"/>
  <c r="A218" i="37"/>
  <c r="I218" i="37" s="1"/>
  <c r="A208" i="37"/>
  <c r="I208" i="37" s="1"/>
  <c r="A91" i="37"/>
  <c r="I91" i="37" s="1"/>
  <c r="A122" i="37"/>
  <c r="I122" i="37" s="1"/>
  <c r="A202" i="37"/>
  <c r="I202" i="37" s="1"/>
  <c r="A212" i="37"/>
  <c r="I212" i="37" s="1"/>
  <c r="A247" i="37"/>
  <c r="I247" i="37" s="1"/>
  <c r="A189" i="37"/>
  <c r="I189" i="37" s="1"/>
  <c r="A42" i="37"/>
  <c r="I42" i="37" s="1"/>
  <c r="A134" i="37"/>
  <c r="I134" i="37" s="1"/>
  <c r="A153" i="37"/>
  <c r="I153" i="37" s="1"/>
  <c r="A113" i="37"/>
  <c r="I113" i="37" s="1"/>
  <c r="A140" i="37"/>
  <c r="I140" i="37" s="1"/>
  <c r="A195" i="37"/>
  <c r="I195" i="37" s="1"/>
  <c r="A250" i="37"/>
  <c r="I250" i="37" s="1"/>
  <c r="A254" i="37"/>
  <c r="I254" i="37" s="1"/>
  <c r="A249" i="37"/>
  <c r="I249" i="37" s="1"/>
  <c r="A222" i="37"/>
  <c r="I222" i="37" s="1"/>
  <c r="A47" i="37"/>
  <c r="I47" i="37" s="1"/>
  <c r="A66" i="37"/>
  <c r="I66" i="37" s="1"/>
  <c r="A15" i="37"/>
  <c r="I15" i="37" s="1"/>
  <c r="A111" i="37"/>
  <c r="I111" i="37" s="1"/>
  <c r="A83" i="37"/>
  <c r="I83" i="37" s="1"/>
  <c r="A236" i="37"/>
  <c r="I236" i="37" s="1"/>
  <c r="A197" i="37"/>
  <c r="I197" i="37" s="1"/>
  <c r="A120" i="37"/>
  <c r="I120" i="37" s="1"/>
  <c r="A98" i="37"/>
  <c r="I98" i="37" s="1"/>
  <c r="A199" i="37"/>
  <c r="I199" i="37" s="1"/>
  <c r="A158" i="37"/>
  <c r="I158" i="37" s="1"/>
  <c r="A156" i="37"/>
  <c r="I156" i="37" s="1"/>
  <c r="A230" i="37"/>
  <c r="I230" i="37" s="1"/>
  <c r="A217" i="37"/>
  <c r="I217" i="37" s="1"/>
  <c r="A228" i="37"/>
  <c r="I228" i="37" s="1"/>
  <c r="A49" i="37"/>
  <c r="I49" i="37" s="1"/>
  <c r="A67" i="37"/>
  <c r="I67" i="37" s="1"/>
  <c r="A135" i="37"/>
  <c r="I135" i="37" s="1"/>
  <c r="A177" i="37"/>
  <c r="I177" i="37" s="1"/>
  <c r="A246" i="37"/>
  <c r="I246" i="37" s="1"/>
  <c r="A214" i="37"/>
  <c r="I214" i="37" s="1"/>
  <c r="A132" i="37"/>
  <c r="I132" i="37" s="1"/>
  <c r="A188" i="37"/>
  <c r="I188" i="37" s="1"/>
  <c r="A227" i="37"/>
  <c r="I227" i="37" s="1"/>
  <c r="A78" i="37"/>
  <c r="I78" i="37" s="1"/>
  <c r="A215" i="37"/>
  <c r="I215" i="37" s="1"/>
  <c r="A256" i="37"/>
  <c r="I256" i="37" s="1"/>
  <c r="A133" i="37"/>
  <c r="I133" i="37" s="1"/>
  <c r="A146" i="37"/>
  <c r="I146" i="37" s="1"/>
  <c r="A43" i="37"/>
  <c r="I43" i="37" s="1"/>
  <c r="A237" i="37"/>
  <c r="I237" i="37" s="1"/>
  <c r="A210" i="37"/>
  <c r="I210" i="37" s="1"/>
  <c r="A266" i="37"/>
  <c r="I266" i="37" s="1"/>
  <c r="A32" i="37"/>
  <c r="I32" i="37" s="1"/>
  <c r="A152" i="37"/>
  <c r="I152" i="37" s="1"/>
  <c r="A100" i="37"/>
  <c r="I100" i="37" s="1"/>
  <c r="A155" i="37"/>
  <c r="I155" i="37" s="1"/>
  <c r="A121" i="37"/>
  <c r="I121" i="37" s="1"/>
  <c r="A94" i="37"/>
  <c r="I94" i="37" s="1"/>
  <c r="A229" i="37"/>
  <c r="I229" i="37" s="1"/>
  <c r="A248" i="37"/>
  <c r="I248" i="37" s="1"/>
  <c r="A7" i="37"/>
  <c r="I7" i="37" s="1"/>
  <c r="A225" i="37"/>
  <c r="I225" i="37" s="1"/>
  <c r="A5" i="37"/>
  <c r="I5" i="37" s="1"/>
  <c r="A27" i="37"/>
  <c r="I27" i="37" s="1"/>
  <c r="A144" i="37"/>
  <c r="I144" i="37" s="1"/>
  <c r="A185" i="37"/>
  <c r="I185" i="37" s="1"/>
  <c r="A170" i="37"/>
  <c r="I170" i="37" s="1"/>
  <c r="A41" i="37"/>
  <c r="I41" i="37" s="1"/>
  <c r="A44" i="37"/>
  <c r="I44" i="37" s="1"/>
  <c r="A252" i="37"/>
  <c r="I252" i="37" s="1"/>
  <c r="A118" i="37"/>
  <c r="I118" i="37" s="1"/>
  <c r="A129" i="37"/>
  <c r="I129" i="37" s="1"/>
  <c r="A234" i="37"/>
  <c r="I234" i="37" s="1"/>
  <c r="A80" i="37"/>
  <c r="I80" i="37" s="1"/>
  <c r="A181" i="37"/>
  <c r="I181" i="37" s="1"/>
  <c r="A219" i="37"/>
  <c r="I219" i="37" s="1"/>
  <c r="A209" i="37"/>
  <c r="I209" i="37" s="1"/>
  <c r="A213" i="37"/>
  <c r="I213" i="37" s="1"/>
  <c r="A251" i="37"/>
  <c r="I251" i="37" s="1"/>
  <c r="A101" i="37"/>
  <c r="I101" i="37" s="1"/>
  <c r="A162" i="37"/>
  <c r="I162" i="37" s="1"/>
  <c r="A163" i="37"/>
  <c r="I163" i="37" s="1"/>
  <c r="A79" i="37"/>
  <c r="I79" i="37" s="1"/>
  <c r="A143" i="37"/>
  <c r="I143" i="37" s="1"/>
  <c r="A125" i="37"/>
  <c r="I125" i="37" s="1"/>
  <c r="A26" i="27" l="1"/>
  <c r="A27" i="27" s="1"/>
  <c r="A28" i="27" s="1"/>
  <c r="KQ13" i="27"/>
  <c r="KQ12" i="27"/>
  <c r="KQ11" i="27"/>
  <c r="KQ10" i="27"/>
  <c r="KQ9" i="27"/>
  <c r="KQ8" i="27"/>
  <c r="KQ7" i="27"/>
  <c r="KQ6" i="27"/>
  <c r="KQ5" i="27"/>
  <c r="KQ4" i="27"/>
  <c r="KO13" i="27"/>
  <c r="KO12" i="27"/>
  <c r="KO11" i="27"/>
  <c r="KO10" i="27"/>
  <c r="KO9" i="27"/>
  <c r="KO8" i="27"/>
  <c r="KO7" i="27"/>
  <c r="KO6" i="27"/>
  <c r="KO5" i="27"/>
  <c r="KO4" i="27"/>
  <c r="KM13" i="27"/>
  <c r="KM12" i="27"/>
  <c r="KM11" i="27"/>
  <c r="KM10" i="27"/>
  <c r="KM9" i="27"/>
  <c r="KM8" i="27"/>
  <c r="KM7" i="27"/>
  <c r="KM6" i="27"/>
  <c r="KM5" i="27"/>
  <c r="KM4" i="27"/>
  <c r="KK13" i="27"/>
  <c r="KK12" i="27"/>
  <c r="KK11" i="27"/>
  <c r="KK10" i="27"/>
  <c r="KK9" i="27"/>
  <c r="KK8" i="27"/>
  <c r="KK7" i="27"/>
  <c r="KK6" i="27"/>
  <c r="KK5" i="27"/>
  <c r="KK4" i="27"/>
  <c r="KI13" i="27"/>
  <c r="KI12" i="27"/>
  <c r="KI11" i="27"/>
  <c r="KI10" i="27"/>
  <c r="KI9" i="27"/>
  <c r="KI8" i="27"/>
  <c r="KI7" i="27"/>
  <c r="KI6" i="27"/>
  <c r="KI5" i="27"/>
  <c r="KI4" i="27"/>
  <c r="KG13" i="27"/>
  <c r="KG12" i="27"/>
  <c r="KG11" i="27"/>
  <c r="KG10" i="27"/>
  <c r="KG9" i="27"/>
  <c r="KG8" i="27"/>
  <c r="KG7" i="27"/>
  <c r="KG6" i="27"/>
  <c r="KG5" i="27"/>
  <c r="KG4" i="27"/>
  <c r="A29" i="27" l="1"/>
  <c r="A5" i="27"/>
  <c r="A6" i="27"/>
  <c r="A7" i="27"/>
  <c r="A8" i="27"/>
  <c r="A9" i="27"/>
  <c r="A10" i="27"/>
  <c r="A11" i="27"/>
  <c r="A12" i="27"/>
  <c r="A13" i="27"/>
  <c r="A4" i="27"/>
  <c r="D11" i="27" l="1"/>
  <c r="D13" i="27"/>
  <c r="D9" i="27"/>
  <c r="D5" i="27"/>
  <c r="D12" i="27"/>
  <c r="D8" i="27"/>
  <c r="D7" i="27"/>
  <c r="D4" i="27"/>
  <c r="D10" i="27"/>
  <c r="D6" i="27"/>
  <c r="A30" i="27"/>
  <c r="A31" i="27" l="1"/>
  <c r="A32" i="27" l="1"/>
  <c r="A33" i="27" l="1"/>
  <c r="A34" i="27" l="1"/>
  <c r="A35" i="27" l="1"/>
  <c r="A36" i="27" l="1"/>
  <c r="A37" i="27" l="1"/>
  <c r="A38" i="27" l="1"/>
  <c r="A39" i="27" l="1"/>
  <c r="A40" i="27" l="1"/>
  <c r="A41" i="27" l="1"/>
  <c r="A42" i="27" l="1"/>
  <c r="A43" i="27" l="1"/>
  <c r="A44" i="27" l="1"/>
  <c r="A45" i="27" l="1"/>
  <c r="A46" i="27" l="1"/>
  <c r="A47" i="27" l="1"/>
  <c r="A48" i="27" l="1"/>
  <c r="A49" i="27" l="1"/>
  <c r="A50" i="27" l="1"/>
  <c r="A51" i="27" l="1"/>
  <c r="A52" i="27" l="1"/>
  <c r="A53" i="27" l="1"/>
  <c r="A54" i="27" l="1"/>
  <c r="A55" i="27" l="1"/>
  <c r="A56" i="27" l="1"/>
  <c r="A57" i="27" l="1"/>
  <c r="A58" i="27" l="1"/>
  <c r="A59" i="27" l="1"/>
  <c r="A60" i="27" l="1"/>
  <c r="A61" i="27" l="1"/>
  <c r="A62" i="27" l="1"/>
  <c r="A63" i="27" l="1"/>
  <c r="A64" i="27" l="1"/>
  <c r="A65" i="27" l="1"/>
  <c r="A66" i="27" l="1"/>
  <c r="A67" i="27" l="1"/>
  <c r="A68" i="27" l="1"/>
  <c r="A69" i="27" l="1"/>
  <c r="A70" i="27" l="1"/>
  <c r="A71" i="27" l="1"/>
  <c r="A72" i="27" l="1"/>
  <c r="A73" i="27" l="1"/>
  <c r="A74" i="27" l="1"/>
  <c r="A75" i="27" l="1"/>
  <c r="A76" i="27" l="1"/>
  <c r="A77" i="27" l="1"/>
  <c r="A78" i="27" l="1"/>
  <c r="A79" i="27" l="1"/>
  <c r="A80" i="27" l="1"/>
  <c r="A81" i="27" l="1"/>
  <c r="A82" i="27" l="1"/>
  <c r="A83" i="27" l="1"/>
  <c r="A84" i="27" l="1"/>
  <c r="A85" i="27" l="1"/>
  <c r="A86" i="27" l="1"/>
  <c r="A87" i="27" l="1"/>
  <c r="A88" i="27" l="1"/>
  <c r="A89" i="27" l="1"/>
  <c r="A90" i="27" l="1"/>
  <c r="A91" i="27" l="1"/>
  <c r="A92" i="27" l="1"/>
  <c r="A93" i="27" l="1"/>
  <c r="A94" i="27" l="1"/>
  <c r="A95" i="27" l="1"/>
  <c r="A96" i="27" l="1"/>
  <c r="A97" i="27" l="1"/>
  <c r="A98" i="27" l="1"/>
  <c r="A99" i="27" l="1"/>
  <c r="A100" i="27" l="1"/>
  <c r="A101" i="27" l="1"/>
  <c r="A102" i="27" l="1"/>
  <c r="A103" i="27" l="1"/>
  <c r="A104" i="27" l="1"/>
  <c r="A105" i="27" l="1"/>
  <c r="A106" i="27" l="1"/>
  <c r="A107" i="27" l="1"/>
  <c r="A108" i="27" l="1"/>
  <c r="A109" i="27" l="1"/>
  <c r="A110" i="27" l="1"/>
  <c r="A111" i="27" l="1"/>
  <c r="A112" i="27" l="1"/>
  <c r="A113" i="27" l="1"/>
  <c r="A114" i="27" l="1"/>
  <c r="A115" i="27" l="1"/>
  <c r="A116" i="27" l="1"/>
  <c r="A117" i="27" l="1"/>
  <c r="A118" i="27" l="1"/>
  <c r="A119" i="27" l="1"/>
  <c r="A120" i="27" l="1"/>
  <c r="A121" i="27" l="1"/>
  <c r="A122" i="27" l="1"/>
  <c r="A123" i="27" l="1"/>
  <c r="A124" i="27" l="1"/>
  <c r="A125" i="27" l="1"/>
  <c r="A126" i="27" l="1"/>
  <c r="A127" i="27" l="1"/>
  <c r="A128" i="27" l="1"/>
  <c r="A129" i="27" l="1"/>
  <c r="A130" i="27" l="1"/>
  <c r="A131" i="27" l="1"/>
  <c r="A132" i="27" l="1"/>
  <c r="A133" i="27" l="1"/>
  <c r="A134" i="27" l="1"/>
  <c r="A135" i="27" l="1"/>
  <c r="A136" i="27" l="1"/>
  <c r="A137" i="27" l="1"/>
  <c r="A138" i="27" l="1"/>
  <c r="A139" i="27" l="1"/>
  <c r="A140" i="27" l="1"/>
  <c r="A141" i="27" l="1"/>
  <c r="A142" i="27" l="1"/>
  <c r="A143" i="27" l="1"/>
  <c r="A144" i="27" l="1"/>
  <c r="A145" i="27" l="1"/>
  <c r="A146" i="27" l="1"/>
  <c r="A147" i="27" l="1"/>
  <c r="A148" i="27" l="1"/>
  <c r="A149" i="27" l="1"/>
  <c r="A150" i="27" l="1"/>
  <c r="A151" i="27" l="1"/>
  <c r="A152" i="27" l="1"/>
  <c r="A153" i="27" l="1"/>
  <c r="A154" i="27" l="1"/>
  <c r="A155" i="27" l="1"/>
  <c r="A156" i="27" l="1"/>
  <c r="A157" i="27" l="1"/>
  <c r="A158" i="27" l="1"/>
  <c r="A159" i="27" l="1"/>
  <c r="A160" i="27" l="1"/>
  <c r="A161" i="27" l="1"/>
  <c r="A162" i="27" l="1"/>
  <c r="A163" i="27" l="1"/>
  <c r="A164" i="27" l="1"/>
  <c r="A165" i="27" l="1"/>
  <c r="A166" i="27" l="1"/>
  <c r="A167" i="27" l="1"/>
  <c r="A168" i="27" l="1"/>
  <c r="A169" i="27" l="1"/>
  <c r="A170" i="27" l="1"/>
  <c r="A171" i="27" l="1"/>
  <c r="A172" i="27" l="1"/>
  <c r="A173" i="27" l="1"/>
  <c r="A174" i="27" l="1"/>
  <c r="A175" i="27" l="1"/>
  <c r="A176" i="27" l="1"/>
  <c r="A177" i="27" l="1"/>
  <c r="A178" i="27" l="1"/>
  <c r="A179" i="27" l="1"/>
  <c r="A180" i="27" l="1"/>
  <c r="A181" i="27" l="1"/>
  <c r="A182" i="27" s="1"/>
  <c r="A183" i="27" s="1"/>
  <c r="A184" i="27" s="1"/>
  <c r="A185" i="27" s="1"/>
  <c r="A186" i="27" s="1"/>
  <c r="A187" i="27" s="1"/>
  <c r="A188" i="27" s="1"/>
  <c r="A189" i="27" s="1"/>
  <c r="A190" i="27" s="1"/>
  <c r="A191" i="27" s="1"/>
  <c r="A192" i="27" s="1"/>
  <c r="A193" i="27" s="1"/>
  <c r="A194" i="27" s="1"/>
  <c r="A195" i="27" s="1"/>
  <c r="A196" i="27" s="1"/>
  <c r="A197" i="27" s="1"/>
  <c r="A198" i="27" s="1"/>
  <c r="A199" i="27" s="1"/>
  <c r="A200" i="27" s="1"/>
  <c r="A201" i="27" s="1"/>
  <c r="A202" i="27" s="1"/>
  <c r="A203" i="27" s="1"/>
  <c r="A204" i="27" s="1"/>
  <c r="A205" i="27" s="1"/>
  <c r="A206" i="27" s="1"/>
  <c r="A207" i="27" s="1"/>
  <c r="A208" i="27" s="1"/>
  <c r="A209" i="27" s="1"/>
  <c r="A210" i="27" s="1"/>
  <c r="A211" i="27" s="1"/>
  <c r="A212" i="27" s="1"/>
  <c r="A213" i="27" s="1"/>
  <c r="A214" i="27" s="1"/>
  <c r="A215" i="27" s="1"/>
  <c r="A216" i="27" s="1"/>
  <c r="A217" i="27" s="1"/>
  <c r="A218" i="27" s="1"/>
  <c r="A219" i="27" s="1"/>
  <c r="A220" i="27" s="1"/>
  <c r="A221" i="27" s="1"/>
  <c r="A222" i="27" s="1"/>
  <c r="A223" i="27" s="1"/>
  <c r="A224" i="27" s="1"/>
  <c r="A225" i="27" s="1"/>
  <c r="A226" i="27" s="1"/>
  <c r="A227" i="27" s="1"/>
  <c r="A228" i="27" s="1"/>
  <c r="A229" i="27" s="1"/>
  <c r="A230" i="27" s="1"/>
  <c r="A231" i="27" s="1"/>
  <c r="A232" i="27" s="1"/>
  <c r="A233" i="27" s="1"/>
  <c r="A234" i="27" s="1"/>
  <c r="A235" i="27" s="1"/>
  <c r="A236" i="27" s="1"/>
  <c r="A237" i="27" s="1"/>
  <c r="A238" i="27" s="1"/>
  <c r="A239" i="27" s="1"/>
  <c r="A240" i="27" s="1"/>
  <c r="A241" i="27" s="1"/>
  <c r="A242" i="27" s="1"/>
  <c r="A243" i="27" s="1"/>
  <c r="A244" i="27" s="1"/>
  <c r="A245" i="27" s="1"/>
  <c r="A246" i="27" s="1"/>
  <c r="A247" i="27" s="1"/>
  <c r="A248" i="27" s="1"/>
  <c r="A249" i="27" s="1"/>
  <c r="A250" i="27" s="1"/>
  <c r="A251" i="27" s="1"/>
  <c r="A252" i="27" s="1"/>
  <c r="A253" i="27" s="1"/>
  <c r="A254" i="27" s="1"/>
  <c r="A255" i="27" s="1"/>
  <c r="A256" i="27" s="1"/>
  <c r="A257" i="27" s="1"/>
  <c r="A258" i="27" s="1"/>
  <c r="A259" i="27" s="1"/>
  <c r="A260" i="27" s="1"/>
  <c r="A261" i="27" s="1"/>
  <c r="A262" i="27" s="1"/>
  <c r="A263" i="27" s="1"/>
  <c r="A264" i="27" s="1"/>
  <c r="A265" i="27" s="1"/>
  <c r="A266" i="27" s="1"/>
  <c r="A267" i="27" s="1"/>
  <c r="A268" i="27" s="1"/>
  <c r="A269" i="27" s="1"/>
  <c r="A270" i="27" s="1"/>
  <c r="A271" i="27" s="1"/>
  <c r="A272" i="27" s="1"/>
  <c r="A273" i="27" s="1"/>
  <c r="A274" i="27" s="1"/>
  <c r="A275" i="27" s="1"/>
  <c r="KR10" i="27" l="1"/>
  <c r="KN10" i="27"/>
  <c r="KP10" i="27"/>
  <c r="KJ10" i="27"/>
  <c r="E10" i="27"/>
  <c r="KL10" i="27"/>
  <c r="B10" i="27"/>
  <c r="KH10" i="27"/>
  <c r="KP13" i="27"/>
  <c r="KJ13" i="27"/>
  <c r="KL13" i="27"/>
  <c r="B13" i="27"/>
  <c r="E13" i="27"/>
  <c r="KH13" i="27"/>
  <c r="KR13" i="27"/>
  <c r="KN13" i="27"/>
  <c r="KH6" i="27"/>
  <c r="E6" i="27"/>
  <c r="KJ6" i="27"/>
  <c r="KR6" i="27"/>
  <c r="KP6" i="27"/>
  <c r="B6" i="27"/>
  <c r="KL6" i="27"/>
  <c r="KN6" i="27"/>
  <c r="KL8" i="27"/>
  <c r="KJ8" i="27"/>
  <c r="KR8" i="27"/>
  <c r="KH8" i="27"/>
  <c r="B8" i="27"/>
  <c r="E8" i="27"/>
  <c r="KP8" i="27"/>
  <c r="KN8" i="27"/>
  <c r="E11" i="27"/>
  <c r="KJ11" i="27"/>
  <c r="B11" i="27"/>
  <c r="KP11" i="27"/>
  <c r="KN11" i="27"/>
  <c r="KL11" i="27"/>
  <c r="KR11" i="27"/>
  <c r="KH11" i="27"/>
  <c r="E7" i="27"/>
  <c r="KL7" i="27"/>
  <c r="KJ7" i="27"/>
  <c r="KH7" i="27"/>
  <c r="KR7" i="27"/>
  <c r="B7" i="27"/>
  <c r="KP7" i="27"/>
  <c r="KN7" i="27"/>
  <c r="KL12" i="27"/>
  <c r="B12" i="27"/>
  <c r="KH12" i="27"/>
  <c r="E12" i="27"/>
  <c r="KR12" i="27"/>
  <c r="KN12" i="27"/>
  <c r="KP12" i="27"/>
  <c r="KJ12" i="27"/>
  <c r="KN4" i="27"/>
  <c r="B4" i="27"/>
  <c r="E4" i="27"/>
  <c r="KP4" i="27"/>
  <c r="KR4" i="27"/>
  <c r="KL4" i="27"/>
  <c r="KJ4" i="27"/>
  <c r="KH4" i="27"/>
  <c r="KN9" i="27"/>
  <c r="KL9" i="27"/>
  <c r="B9" i="27"/>
  <c r="KH9" i="27"/>
  <c r="KR9" i="27"/>
  <c r="KJ9" i="27"/>
  <c r="E9" i="27"/>
  <c r="KP9" i="27"/>
  <c r="E5" i="27"/>
  <c r="KP5" i="27"/>
  <c r="KR5" i="27"/>
  <c r="KL5" i="27"/>
  <c r="KN5" i="27"/>
  <c r="B5" i="27"/>
  <c r="KJ5" i="27"/>
  <c r="KH5" i="27"/>
  <c r="KJ15" i="27" l="1"/>
  <c r="KJ16" i="27" s="1"/>
  <c r="F15" i="27"/>
  <c r="KL15" i="27"/>
  <c r="KL16" i="27" s="1"/>
  <c r="B15" i="27"/>
  <c r="B16" i="27" s="1"/>
  <c r="KR15" i="27"/>
  <c r="KR16" i="27" s="1"/>
  <c r="KN15" i="27"/>
  <c r="KN16" i="27" s="1"/>
  <c r="KH15" i="27"/>
  <c r="KH16" i="27" s="1"/>
  <c r="KP15" i="27"/>
  <c r="KP16" i="27" s="1"/>
  <c r="F16" i="27" l="1"/>
  <c r="B18" i="27"/>
  <c r="B272" i="27" l="1"/>
  <c r="B187" i="27"/>
  <c r="B188" i="27"/>
  <c r="B20" i="27"/>
  <c r="B246" i="27"/>
  <c r="B204" i="27"/>
  <c r="B274" i="27"/>
  <c r="B207" i="27"/>
  <c r="B185" i="27"/>
  <c r="B263" i="27"/>
  <c r="B235" i="27"/>
  <c r="B186" i="27"/>
  <c r="B189" i="27"/>
  <c r="B209" i="27"/>
  <c r="B252" i="27"/>
  <c r="B268" i="27"/>
  <c r="B35" i="27"/>
  <c r="B254" i="27"/>
  <c r="B242" i="27"/>
  <c r="B193" i="27"/>
  <c r="B256" i="27"/>
  <c r="B215" i="27"/>
  <c r="B40" i="27"/>
  <c r="B217" i="27"/>
  <c r="B198" i="27"/>
  <c r="B220" i="27"/>
  <c r="B221" i="27"/>
  <c r="B47" i="27"/>
  <c r="B225" i="27"/>
  <c r="B51" i="27"/>
  <c r="B229" i="27"/>
  <c r="B55" i="27"/>
  <c r="B59" i="27"/>
  <c r="B63" i="27"/>
  <c r="B67" i="27"/>
  <c r="B71" i="27"/>
  <c r="B75" i="27"/>
  <c r="B79" i="27"/>
  <c r="B83" i="27"/>
  <c r="B87" i="27"/>
  <c r="B91" i="27"/>
  <c r="B95" i="27"/>
  <c r="B99" i="27"/>
  <c r="B103" i="27"/>
  <c r="B107" i="27"/>
  <c r="B111" i="27"/>
  <c r="B115" i="27"/>
  <c r="B119" i="27"/>
  <c r="B123" i="27"/>
  <c r="B127" i="27"/>
  <c r="B131" i="27"/>
  <c r="B135" i="27"/>
  <c r="B139" i="27"/>
  <c r="B143" i="27"/>
  <c r="B147" i="27"/>
  <c r="B151" i="27"/>
  <c r="B155" i="27"/>
  <c r="B159" i="27"/>
  <c r="B163" i="27"/>
  <c r="B167" i="27"/>
  <c r="B171" i="27"/>
  <c r="B175" i="27"/>
  <c r="B179" i="27"/>
  <c r="B275" i="27"/>
  <c r="B261" i="27"/>
  <c r="B202" i="27"/>
  <c r="B29" i="27"/>
  <c r="B273" i="27"/>
  <c r="B250" i="27"/>
  <c r="B184" i="27"/>
  <c r="B262" i="27"/>
  <c r="B234" i="27"/>
  <c r="B27" i="27"/>
  <c r="B245" i="27"/>
  <c r="B203" i="27"/>
  <c r="B28" i="27"/>
  <c r="B251" i="27"/>
  <c r="B239" i="27"/>
  <c r="B210" i="27"/>
  <c r="B191" i="27"/>
  <c r="B269" i="27"/>
  <c r="B212" i="27"/>
  <c r="B255" i="27"/>
  <c r="B243" i="27"/>
  <c r="B194" i="27"/>
  <c r="B39" i="27"/>
  <c r="B216" i="27"/>
  <c r="B197" i="27"/>
  <c r="B219" i="27"/>
  <c r="B44" i="27"/>
  <c r="B45" i="27"/>
  <c r="B223" i="27"/>
  <c r="B49" i="27"/>
  <c r="B227" i="27"/>
  <c r="B53" i="27"/>
  <c r="B56" i="27"/>
  <c r="B60" i="27"/>
  <c r="B64" i="27"/>
  <c r="B68" i="27"/>
  <c r="B72" i="27"/>
  <c r="B76" i="27"/>
  <c r="B80" i="27"/>
  <c r="B84" i="27"/>
  <c r="B88" i="27"/>
  <c r="B92" i="27"/>
  <c r="B96" i="27"/>
  <c r="B100" i="27"/>
  <c r="B104" i="27"/>
  <c r="B108" i="27"/>
  <c r="B112" i="27"/>
  <c r="B116" i="27"/>
  <c r="B120" i="27"/>
  <c r="B124" i="27"/>
  <c r="B128" i="27"/>
  <c r="B132" i="27"/>
  <c r="B136" i="27"/>
  <c r="B140" i="27"/>
  <c r="B144" i="27"/>
  <c r="B148" i="27"/>
  <c r="B152" i="27"/>
  <c r="B156" i="27"/>
  <c r="B160" i="27"/>
  <c r="B164" i="27"/>
  <c r="B168" i="27"/>
  <c r="B172" i="27"/>
  <c r="B176" i="27"/>
  <c r="B180" i="27"/>
  <c r="B264" i="27"/>
  <c r="B244" i="27"/>
  <c r="B31" i="27"/>
  <c r="B25" i="27"/>
  <c r="B259" i="27"/>
  <c r="B233" i="27"/>
  <c r="B30" i="27"/>
  <c r="B236" i="27"/>
  <c r="B205" i="27"/>
  <c r="B21" i="27"/>
  <c r="B248" i="27"/>
  <c r="B206" i="27"/>
  <c r="B32" i="27"/>
  <c r="B33" i="27"/>
  <c r="B190" i="27"/>
  <c r="B34" i="27"/>
  <c r="B253" i="27"/>
  <c r="B241" i="27"/>
  <c r="B36" i="27"/>
  <c r="B213" i="27"/>
  <c r="B271" i="27"/>
  <c r="B214" i="27"/>
  <c r="B195" i="27"/>
  <c r="B258" i="27"/>
  <c r="B42" i="27"/>
  <c r="B43" i="27"/>
  <c r="B200" i="27"/>
  <c r="B222" i="27"/>
  <c r="B48" i="27"/>
  <c r="B226" i="27"/>
  <c r="B228" i="27"/>
  <c r="B230" i="27"/>
  <c r="B57" i="27"/>
  <c r="B61" i="27"/>
  <c r="B65" i="27"/>
  <c r="B69" i="27"/>
  <c r="B73" i="27"/>
  <c r="B77" i="27"/>
  <c r="B81" i="27"/>
  <c r="B85" i="27"/>
  <c r="B89" i="27"/>
  <c r="B93" i="27"/>
  <c r="B97" i="27"/>
  <c r="B101" i="27"/>
  <c r="B105" i="27"/>
  <c r="B109" i="27"/>
  <c r="B113" i="27"/>
  <c r="B117" i="27"/>
  <c r="B121" i="27"/>
  <c r="B125" i="27"/>
  <c r="B129" i="27"/>
  <c r="B133" i="27"/>
  <c r="B137" i="27"/>
  <c r="B141" i="27"/>
  <c r="B145" i="27"/>
  <c r="B149" i="27"/>
  <c r="B153" i="27"/>
  <c r="B157" i="27"/>
  <c r="B161" i="27"/>
  <c r="B165" i="27"/>
  <c r="B169" i="27"/>
  <c r="B173" i="27"/>
  <c r="B177" i="27"/>
  <c r="B181" i="27"/>
  <c r="B249" i="27"/>
  <c r="B231" i="27"/>
  <c r="B182" i="27"/>
  <c r="B19" i="27"/>
  <c r="B265" i="27"/>
  <c r="B237" i="27"/>
  <c r="B26" i="27"/>
  <c r="B247" i="27"/>
  <c r="B208" i="27"/>
  <c r="B260" i="27"/>
  <c r="B232" i="27"/>
  <c r="B183" i="27"/>
  <c r="B266" i="27"/>
  <c r="B238" i="27"/>
  <c r="B267" i="27"/>
  <c r="B240" i="27"/>
  <c r="B211" i="27"/>
  <c r="B192" i="27"/>
  <c r="B270" i="27"/>
  <c r="B37" i="27"/>
  <c r="B38" i="27"/>
  <c r="B257" i="27"/>
  <c r="B196" i="27"/>
  <c r="B41" i="27"/>
  <c r="B218" i="27"/>
  <c r="B199" i="27"/>
  <c r="B201" i="27"/>
  <c r="B46" i="27"/>
  <c r="B224" i="27"/>
  <c r="B50" i="27"/>
  <c r="B52" i="27"/>
  <c r="B54" i="27"/>
  <c r="B58" i="27"/>
  <c r="B62" i="27"/>
  <c r="B66" i="27"/>
  <c r="B70" i="27"/>
  <c r="B74" i="27"/>
  <c r="B78" i="27"/>
  <c r="B82" i="27"/>
  <c r="B86" i="27"/>
  <c r="B90" i="27"/>
  <c r="B94" i="27"/>
  <c r="B98" i="27"/>
  <c r="B102" i="27"/>
  <c r="B106" i="27"/>
  <c r="B110" i="27"/>
  <c r="B114" i="27"/>
  <c r="B118" i="27"/>
  <c r="B122" i="27"/>
  <c r="B126" i="27"/>
  <c r="B130" i="27"/>
  <c r="B134" i="27"/>
  <c r="B138" i="27"/>
  <c r="B142" i="27"/>
  <c r="B146" i="27"/>
  <c r="B150" i="27"/>
  <c r="B154" i="27"/>
  <c r="B158" i="27"/>
  <c r="B162" i="27"/>
  <c r="B166" i="27"/>
  <c r="B170" i="27"/>
  <c r="B174" i="27"/>
  <c r="B178" i="27"/>
</calcChain>
</file>

<file path=xl/sharedStrings.xml><?xml version="1.0" encoding="utf-8"?>
<sst xmlns="http://schemas.openxmlformats.org/spreadsheetml/2006/main" count="3735" uniqueCount="643">
  <si>
    <t>Doelloos</t>
  </si>
  <si>
    <t>punten</t>
  </si>
  <si>
    <t>Plaats</t>
  </si>
  <si>
    <t>Teamnaam</t>
  </si>
  <si>
    <t>Punten</t>
  </si>
  <si>
    <t>Algemeen klassement</t>
  </si>
  <si>
    <t>Etappewinnaar</t>
  </si>
  <si>
    <t>Dagscore</t>
  </si>
  <si>
    <t># gek</t>
  </si>
  <si>
    <t>Wit met rode stippen</t>
  </si>
  <si>
    <t>Totaal</t>
  </si>
  <si>
    <t>De Texelboys</t>
  </si>
  <si>
    <t>MAJAH</t>
  </si>
  <si>
    <t>Het andere oranje</t>
  </si>
  <si>
    <t>Porte, Richie</t>
  </si>
  <si>
    <t>Yates, Adam</t>
  </si>
  <si>
    <t>Alaphilippe, Julian</t>
  </si>
  <si>
    <t>Thomas, Geraint</t>
  </si>
  <si>
    <t>Martin, Guillaume</t>
  </si>
  <si>
    <t>Sagan, Peter</t>
  </si>
  <si>
    <t>Barguil, Warren</t>
  </si>
  <si>
    <t>Bardet, Romain</t>
  </si>
  <si>
    <t>Cort, Magnus</t>
  </si>
  <si>
    <t>Matthews, Michael</t>
  </si>
  <si>
    <t>Martin, Daniel</t>
  </si>
  <si>
    <t>Nibali, Vincenzo</t>
  </si>
  <si>
    <t>Van Avermaet, Greg</t>
  </si>
  <si>
    <t>Laporte, Christophe</t>
  </si>
  <si>
    <t>Colbrelli, Sonny</t>
  </si>
  <si>
    <t>Greipel, Andre</t>
  </si>
  <si>
    <t>Groenewegen, Dylan</t>
  </si>
  <si>
    <t>Kristoff, Alexander</t>
  </si>
  <si>
    <t>Boasson Hagen, Edvald</t>
  </si>
  <si>
    <t>Landa Meana, Mikel</t>
  </si>
  <si>
    <t>Gaudu, David</t>
  </si>
  <si>
    <t>Valverde Belmonte, Alejandro</t>
  </si>
  <si>
    <t>Zakarin, Ilnur</t>
  </si>
  <si>
    <t>Fuglsang, Jakob</t>
  </si>
  <si>
    <t>Martin, Tony</t>
  </si>
  <si>
    <t>Quintana, Nairo</t>
  </si>
  <si>
    <t>Urán, Rigoberto</t>
  </si>
  <si>
    <t>Kruijswijk, Steven</t>
  </si>
  <si>
    <t>van Garderen, Tejay</t>
  </si>
  <si>
    <t>Naesen, Oliver</t>
  </si>
  <si>
    <t>Calmejane, Lilian</t>
  </si>
  <si>
    <t>Impey, Daryl</t>
  </si>
  <si>
    <t>Kragh Andersen, Søren</t>
  </si>
  <si>
    <t>De Gendt, Thomas</t>
  </si>
  <si>
    <t>Vuillermoz, Alexis</t>
  </si>
  <si>
    <t>Mollema, Bauke</t>
  </si>
  <si>
    <t>Stuyven, Jasper</t>
  </si>
  <si>
    <t>Valgren Andersen, Michael</t>
  </si>
  <si>
    <t>Herrada Lopez, Jesus</t>
  </si>
  <si>
    <t>Izagirre Insausti, Gorka</t>
  </si>
  <si>
    <t>Bernal Gomez, Egan Arley</t>
  </si>
  <si>
    <t>Sánchez, Luis León</t>
  </si>
  <si>
    <t>Gallopin, Tony</t>
  </si>
  <si>
    <t>Gesbert, Elie</t>
  </si>
  <si>
    <t>Geschke, Simon</t>
  </si>
  <si>
    <t>Amador Bikkazakova, Andrey</t>
  </si>
  <si>
    <t>Arndt, Nikias</t>
  </si>
  <si>
    <t>Benoot, Tiesj</t>
  </si>
  <si>
    <t>Bernard, Julien</t>
  </si>
  <si>
    <t>Bevin, Patrick</t>
  </si>
  <si>
    <t>Bouet, Maxime</t>
  </si>
  <si>
    <t>Burghardt, Marcus</t>
  </si>
  <si>
    <t>Caruso, Damiano</t>
  </si>
  <si>
    <t>Castroviejo Nicolas, Jonathan</t>
  </si>
  <si>
    <t>Clarke, Simon</t>
  </si>
  <si>
    <t>De Buyst, Jasper</t>
  </si>
  <si>
    <t>de Kort, Koen</t>
  </si>
  <si>
    <t>Durbridge, Luke</t>
  </si>
  <si>
    <t>Edet, Nicolas</t>
  </si>
  <si>
    <t>Erviti Ollo, Imanol</t>
  </si>
  <si>
    <t>Fraile Matarranza, Omar</t>
  </si>
  <si>
    <t>Grellier, Fabien</t>
  </si>
  <si>
    <t>Haga, Chad</t>
  </si>
  <si>
    <t>Hepburn, Michael</t>
  </si>
  <si>
    <t>Janse Van Rensburg, Reinardt</t>
  </si>
  <si>
    <t>Jansen, Amund Grondahl</t>
  </si>
  <si>
    <t>Kangert, Tanel</t>
  </si>
  <si>
    <t>Keukeleire, Jens</t>
  </si>
  <si>
    <t>Kung, Stefan</t>
  </si>
  <si>
    <t>Lampaert, Yves</t>
  </si>
  <si>
    <t>Ledanois, Kevin</t>
  </si>
  <si>
    <t>Moinard, Amaël</t>
  </si>
  <si>
    <t>Molard, Rudy</t>
  </si>
  <si>
    <t>Moscon, Gianni</t>
  </si>
  <si>
    <t>Mühlberger, Gregor</t>
  </si>
  <si>
    <t>Oss, Daniel</t>
  </si>
  <si>
    <t>Pasqualon, Andrea</t>
  </si>
  <si>
    <t>Pauwels, Serge</t>
  </si>
  <si>
    <t>Perez, Anthony</t>
  </si>
  <si>
    <t>Poels, Wout</t>
  </si>
  <si>
    <t>Politt, Nils</t>
  </si>
  <si>
    <t>Pöstlberger, Lukas</t>
  </si>
  <si>
    <t>Richeze, Maximiliano Ariel</t>
  </si>
  <si>
    <t>Rowe, Luke</t>
  </si>
  <si>
    <t>Schär, Michael</t>
  </si>
  <si>
    <t>Scully, Thomas</t>
  </si>
  <si>
    <t>Sicard, Romain</t>
  </si>
  <si>
    <t>Simon, Julien</t>
  </si>
  <si>
    <t>Skujins, Toms</t>
  </si>
  <si>
    <t>Soler, Marc</t>
  </si>
  <si>
    <t>Taaramäe, Rein</t>
  </si>
  <si>
    <t>Terpstra, Niki</t>
  </si>
  <si>
    <t>Turgis, Anthony</t>
  </si>
  <si>
    <t>Vachon, Florian</t>
  </si>
  <si>
    <t>Zabel, Rick</t>
  </si>
  <si>
    <t>Frank, Mathias</t>
  </si>
  <si>
    <t>Offredo, Yoann</t>
  </si>
  <si>
    <t>Chiel Montagne</t>
  </si>
  <si>
    <t>Gentile</t>
  </si>
  <si>
    <t>Sting like a bee</t>
  </si>
  <si>
    <t>Op volle toeren</t>
  </si>
  <si>
    <t>Hoempapa</t>
  </si>
  <si>
    <t>Tandje klein</t>
  </si>
  <si>
    <t>De Bokkerijders</t>
  </si>
  <si>
    <t>Pierre Snoo</t>
  </si>
  <si>
    <t>Ewan, Caleb</t>
  </si>
  <si>
    <t>Eiking, Odd Christian</t>
  </si>
  <si>
    <t>Mørkøv, Michael</t>
  </si>
  <si>
    <t>Woods, Michael</t>
  </si>
  <si>
    <t>Cherel, Mickael</t>
  </si>
  <si>
    <t>Kwiatkowski, Michal</t>
  </si>
  <si>
    <t>Pinot, Thibaut</t>
  </si>
  <si>
    <t>Trentin, Matteo</t>
  </si>
  <si>
    <t>Kreuziger, Roman</t>
  </si>
  <si>
    <t>Nizzolo, Giacomo</t>
  </si>
  <si>
    <t>Faria da Costa, Rui Alberto</t>
  </si>
  <si>
    <t>Langeveld, Sebastian</t>
  </si>
  <si>
    <t>Bol, Cees</t>
  </si>
  <si>
    <t>Kelderman, Wilco</t>
  </si>
  <si>
    <t>van Baarle, Dylan</t>
  </si>
  <si>
    <t>Teunissen, Mike</t>
  </si>
  <si>
    <t>Mas, Enric</t>
  </si>
  <si>
    <t>Viviani, Elia</t>
  </si>
  <si>
    <t>Schachmann, Maximilian</t>
  </si>
  <si>
    <t>Cosnefroy, Benoit</t>
  </si>
  <si>
    <t>King, Ben</t>
  </si>
  <si>
    <t>Asgreen, Kasper</t>
  </si>
  <si>
    <t>Bettiol, Alberto</t>
  </si>
  <si>
    <t>Konrad, Patrick</t>
  </si>
  <si>
    <t>Bilbao, Pello</t>
  </si>
  <si>
    <t>Aru, Fabio</t>
  </si>
  <si>
    <t>Roche, Nicolas</t>
  </si>
  <si>
    <t>Juul Jensen, Christopher</t>
  </si>
  <si>
    <t>Felline, Fabio</t>
  </si>
  <si>
    <t>Dennis, Rohan</t>
  </si>
  <si>
    <t>Philipsen, Jasper</t>
  </si>
  <si>
    <t>Lutsenko, Alexey</t>
  </si>
  <si>
    <t>Garcia Cortina, Ivan</t>
  </si>
  <si>
    <t>Van Aert, Wout</t>
  </si>
  <si>
    <t>Bonifazio, Niccolò</t>
  </si>
  <si>
    <t>Buchmann, Emanuel</t>
  </si>
  <si>
    <t>Als ik maar boven mijn oom eindig</t>
  </si>
  <si>
    <t>Teuns, Dylan</t>
  </si>
  <si>
    <t>Bennett, George</t>
  </si>
  <si>
    <t>Wellens, Tim</t>
  </si>
  <si>
    <t>Speedy Gonzales</t>
  </si>
  <si>
    <t>Beentjes</t>
  </si>
  <si>
    <t>Mohoric, Matej</t>
  </si>
  <si>
    <t>Yates, Simon</t>
  </si>
  <si>
    <t>Ourselin, Paul</t>
  </si>
  <si>
    <t>Bak, Lars Ytting</t>
  </si>
  <si>
    <t>Ciccone, Giulio</t>
  </si>
  <si>
    <t>Backaert, Frederik</t>
  </si>
  <si>
    <t>Berhane, Natnael</t>
  </si>
  <si>
    <t>Bonnet, William</t>
  </si>
  <si>
    <t>Bystrøm, Sven Erik</t>
  </si>
  <si>
    <t>Cummings, Stephen</t>
  </si>
  <si>
    <t>De Gendt, Aime</t>
  </si>
  <si>
    <t>De Marchi, Alessandro</t>
  </si>
  <si>
    <t>De Plus, Laurens</t>
  </si>
  <si>
    <t>Debusschere, Jens</t>
  </si>
  <si>
    <t>Delaplace, Anthony</t>
  </si>
  <si>
    <t>Devenyns, Dries</t>
  </si>
  <si>
    <t>Dowsett, Alex</t>
  </si>
  <si>
    <t>Gonçalves, José</t>
  </si>
  <si>
    <t>Gougeard, Alexis</t>
  </si>
  <si>
    <t>Haig, Jack</t>
  </si>
  <si>
    <t>Haller, Marco</t>
  </si>
  <si>
    <t>Henao Montoya, Sergio Luis</t>
  </si>
  <si>
    <t>Houle, Hugo</t>
  </si>
  <si>
    <t>Kämna, Lennard</t>
  </si>
  <si>
    <t>Kluge, Roger</t>
  </si>
  <si>
    <t>Ladagnous, Matthieu</t>
  </si>
  <si>
    <t>Périchon, Pierre-Luc</t>
  </si>
  <si>
    <t>Meurisse, Xandro</t>
  </si>
  <si>
    <t>Monfort, Maxime</t>
  </si>
  <si>
    <t>Oliveira, Nelson</t>
  </si>
  <si>
    <t>Quintanilla, Carlos Verona</t>
  </si>
  <si>
    <t>Reichenbach, Sebastien</t>
  </si>
  <si>
    <t>Rossetto, Stéphane</t>
  </si>
  <si>
    <t>Rosskopf, Joey</t>
  </si>
  <si>
    <t>Roux, Anthony</t>
  </si>
  <si>
    <t>Stake Laengen, Vegard</t>
  </si>
  <si>
    <t>Tratnik, Jan</t>
  </si>
  <si>
    <t>Van Melsen, Kevin</t>
  </si>
  <si>
    <t>Wisniowski, Lukasz</t>
  </si>
  <si>
    <t>Schmidt, Mads Würtz</t>
  </si>
  <si>
    <t>Always AZ</t>
  </si>
  <si>
    <t>VIOS</t>
  </si>
  <si>
    <t>Le père de Nelson et Jamie</t>
  </si>
  <si>
    <t>Flakkeese Boys</t>
  </si>
  <si>
    <t>MARIA COLETA</t>
  </si>
  <si>
    <t>Tour de Nijntje</t>
  </si>
  <si>
    <t>Luitenant</t>
  </si>
  <si>
    <t>Haven Unlimited</t>
  </si>
  <si>
    <t>De Raddraaiers</t>
  </si>
  <si>
    <t>Voor al uw dameswensen</t>
  </si>
  <si>
    <t>Gelul van een dronken aardbei</t>
  </si>
  <si>
    <t>Als ik maar van mijn neefje win</t>
  </si>
  <si>
    <t>Geen gezeik, iedereen rijk!</t>
  </si>
  <si>
    <t>En wel hierom</t>
  </si>
  <si>
    <t>De Regelneefjes</t>
  </si>
  <si>
    <t>Daar moet de mattenklopper overheen</t>
  </si>
  <si>
    <t>Bosgeiten</t>
  </si>
  <si>
    <t>Bosjaguars</t>
  </si>
  <si>
    <t>De Franse Stokbroden</t>
  </si>
  <si>
    <t>Rensrenners</t>
  </si>
  <si>
    <t>De troeven van Hoeven</t>
  </si>
  <si>
    <t>Koernikova op mijn bagagedrager</t>
  </si>
  <si>
    <t>Pastis in mijn Bidonnetje</t>
  </si>
  <si>
    <t>Ricard in mijn Bidonnetje</t>
  </si>
  <si>
    <t>"Tussen Haeckjes"</t>
  </si>
  <si>
    <t>Alle Vogels Vliegen</t>
  </si>
  <si>
    <t>De Kleine Tuinmannen</t>
  </si>
  <si>
    <t>Fausto Coppi</t>
  </si>
  <si>
    <t>LaTour A</t>
  </si>
  <si>
    <t>LaTour B</t>
  </si>
  <si>
    <t>LaTour C</t>
  </si>
  <si>
    <t>LaTour D</t>
  </si>
  <si>
    <t>Diezefavorieten</t>
  </si>
  <si>
    <t>Koffiedik Kijken</t>
  </si>
  <si>
    <t>Tikje breed</t>
  </si>
  <si>
    <t>Tikje terug</t>
  </si>
  <si>
    <t>C'est la Vie</t>
  </si>
  <si>
    <t>The Shortys</t>
  </si>
  <si>
    <t>Calgary Flames</t>
  </si>
  <si>
    <t>Carwash Heemstede</t>
  </si>
  <si>
    <t>Don't worry be happy</t>
  </si>
  <si>
    <t>Random teams</t>
  </si>
  <si>
    <t>Ranking</t>
  </si>
  <si>
    <t>min</t>
  </si>
  <si>
    <t>max</t>
  </si>
  <si>
    <t>count</t>
  </si>
  <si>
    <t>average</t>
  </si>
  <si>
    <t>Rank</t>
  </si>
  <si>
    <t>#</t>
  </si>
  <si>
    <t>The Yellow Riders</t>
  </si>
  <si>
    <t>Uitslag</t>
  </si>
  <si>
    <t>Giro di Francia</t>
  </si>
  <si>
    <t>Epedaleurs</t>
  </si>
  <si>
    <t>Kleppers Sprint</t>
  </si>
  <si>
    <t>Bludger and Bogan on the Booze Bus</t>
  </si>
  <si>
    <t>VeloVeluwe</t>
  </si>
  <si>
    <t>Tour du Renard</t>
  </si>
  <si>
    <t>De Gladiolen</t>
  </si>
  <si>
    <t>Les Flandriens</t>
  </si>
  <si>
    <t>Op goed geluk</t>
  </si>
  <si>
    <t>Bosuilen</t>
  </si>
  <si>
    <t>Dance like a butterfly</t>
  </si>
  <si>
    <t>Fietsen voor het vaderland</t>
  </si>
  <si>
    <t>MOLLEMA</t>
  </si>
  <si>
    <t>TeamTommie</t>
  </si>
  <si>
    <t>Carlijn is er weer bij</t>
  </si>
  <si>
    <t>Als het geen uitdaging is, is het ook niet leuk</t>
  </si>
  <si>
    <t>Zal niet voor vandaag zijn?</t>
  </si>
  <si>
    <t>Nova Randonneur</t>
  </si>
  <si>
    <t>RATJETOE 1</t>
  </si>
  <si>
    <t>RATJETOE 2</t>
  </si>
  <si>
    <t>King of the Road</t>
  </si>
  <si>
    <t>Meesterknechten</t>
  </si>
  <si>
    <t>Nooit van gehoord revisited</t>
  </si>
  <si>
    <t>Allez hop!</t>
  </si>
  <si>
    <t>DE BAARSJES</t>
  </si>
  <si>
    <t>Sprintloos</t>
  </si>
  <si>
    <t>FRYSLAN BOPPE</t>
  </si>
  <si>
    <t>GOPHERS</t>
  </si>
  <si>
    <t>MET DE VLAM IN DE PIJP</t>
  </si>
  <si>
    <t>Burpocyclette</t>
  </si>
  <si>
    <t>TILBURG TRAPPERS</t>
  </si>
  <si>
    <t>Golden retriever Sam</t>
  </si>
  <si>
    <t>Veni, Bini, Vici</t>
  </si>
  <si>
    <t>Aanvallen maar</t>
  </si>
  <si>
    <t>Het zwarte paard</t>
  </si>
  <si>
    <t>De klimgeiten</t>
  </si>
  <si>
    <t>geen wielerfanaat</t>
  </si>
  <si>
    <t>Ook dit jaar weer net niet</t>
  </si>
  <si>
    <t>Sneller gaat het niet</t>
  </si>
  <si>
    <t>L'esprit du corps</t>
  </si>
  <si>
    <t>Louis_XIV</t>
  </si>
  <si>
    <t>Welcome to Brighter</t>
  </si>
  <si>
    <t>Zaanse Wielerploeg</t>
  </si>
  <si>
    <t>Les Paradeurs</t>
  </si>
  <si>
    <t>Ikhebgeenroos!</t>
  </si>
  <si>
    <t xml:space="preserve">Aux Champs-Élysées...' </t>
  </si>
  <si>
    <t>Eigentempojongens</t>
  </si>
  <si>
    <t>ABC’tje</t>
  </si>
  <si>
    <t xml:space="preserve">Zouden ze echt in vorm zijn? </t>
  </si>
  <si>
    <t>Als de kopmannen het niet doen</t>
  </si>
  <si>
    <t>Che Sorpresa</t>
  </si>
  <si>
    <t>Chrono's</t>
  </si>
  <si>
    <t>Gouda Royal</t>
  </si>
  <si>
    <t>GuillaumE</t>
  </si>
  <si>
    <t>Lo Stambecco</t>
  </si>
  <si>
    <t>Vainqueurs</t>
  </si>
  <si>
    <t>Squadra Megliore</t>
  </si>
  <si>
    <t>Sweet Sounds of Heaven</t>
  </si>
  <si>
    <t>The Tropical Gorillas</t>
  </si>
  <si>
    <t>Lunatics 2</t>
  </si>
  <si>
    <t>De Nordmannetjes 4</t>
  </si>
  <si>
    <t>Lunatics4</t>
  </si>
  <si>
    <t>Good old men</t>
  </si>
  <si>
    <t>SUPER TEAM NISTJASVKAJU</t>
  </si>
  <si>
    <t>MAGIC SUPER BRACKETS</t>
  </si>
  <si>
    <t>Thommes</t>
  </si>
  <si>
    <t>Sresteifnerovetsrethca</t>
  </si>
  <si>
    <t>Nog nooit in de prijzen gevallen</t>
  </si>
  <si>
    <t>Abdoezjaparov</t>
  </si>
  <si>
    <t>Buitenbladharkers</t>
  </si>
  <si>
    <t>Fietsers zonder bel</t>
  </si>
  <si>
    <t>God en klein PIERKE</t>
  </si>
  <si>
    <t>De Nordmannetjes 3</t>
  </si>
  <si>
    <t>Sergeant</t>
  </si>
  <si>
    <t>Abelskampioensploeg</t>
  </si>
  <si>
    <t>Maarschalk</t>
  </si>
  <si>
    <t xml:space="preserve">Tslonavoibaf </t>
  </si>
  <si>
    <t>80 per uur naar de meet</t>
  </si>
  <si>
    <t>Kapitein</t>
  </si>
  <si>
    <t>Kats naor de Klote</t>
  </si>
  <si>
    <t>Peppi</t>
  </si>
  <si>
    <t>Hoop is Uitgestelde Teleurstelling</t>
  </si>
  <si>
    <t>Oranje Trui</t>
  </si>
  <si>
    <t>MAGIC SUPER FAST BRACKETS</t>
  </si>
  <si>
    <t>Masseria Pellicano</t>
  </si>
  <si>
    <t>Om-hun-moeder-roepers</t>
  </si>
  <si>
    <t>OleOleOleWeAreTheChampions</t>
  </si>
  <si>
    <t>Haagse Dashers</t>
  </si>
  <si>
    <t>Lunatics 1</t>
  </si>
  <si>
    <t>Kloosterleuteraars</t>
  </si>
  <si>
    <t>Kolonel</t>
  </si>
  <si>
    <t>De Nordmannetjes 1</t>
  </si>
  <si>
    <t>De Nordmannetjes 2</t>
  </si>
  <si>
    <t>Chasse Patate</t>
  </si>
  <si>
    <t>net niet (deel 14)</t>
  </si>
  <si>
    <t>AllezAllezAllezWeAreTheChampions</t>
  </si>
  <si>
    <t>Wind Mee</t>
  </si>
  <si>
    <t>Alle Vissen Zwemmen</t>
  </si>
  <si>
    <t>NFHO</t>
  </si>
  <si>
    <t>Lunatics5</t>
  </si>
  <si>
    <t>Mas que nada</t>
  </si>
  <si>
    <t>Linkeballen</t>
  </si>
  <si>
    <t>Ducrot-adoreurs</t>
  </si>
  <si>
    <t>Lunatics 3</t>
  </si>
  <si>
    <t>De Nordmannetjes 5</t>
  </si>
  <si>
    <t>WW Olé</t>
  </si>
  <si>
    <t>Boortje</t>
  </si>
  <si>
    <t>A l'attaque</t>
  </si>
  <si>
    <t>Mark's 35e</t>
  </si>
  <si>
    <t>a la victoire</t>
  </si>
  <si>
    <t>Team Mathieu</t>
  </si>
  <si>
    <t>Jawel, Kowet gaat Europa in!</t>
  </si>
  <si>
    <t xml:space="preserve">Charles Louén </t>
  </si>
  <si>
    <t>Wtp (Wielrennen tot na je pensioen)</t>
  </si>
  <si>
    <t>Doelbewust</t>
  </si>
  <si>
    <t>De dolle geiten uit Lisserbroek</t>
  </si>
  <si>
    <t>GEEL IS GEEN ROOD</t>
  </si>
  <si>
    <t>OP DE SPEED BIKE</t>
  </si>
  <si>
    <t>OP DE TANDEM</t>
  </si>
  <si>
    <t>Las Mariposas</t>
  </si>
  <si>
    <t>TaalGPT</t>
  </si>
  <si>
    <t>Bedankt Marc voor 32 mooie jaren</t>
  </si>
  <si>
    <t>Willy Alberti bedankt voor bijna 40 jaren</t>
  </si>
  <si>
    <t>Moeder Heemskerk doet ook weer mee</t>
  </si>
  <si>
    <t>Handlebar Hooligans</t>
  </si>
  <si>
    <t>Cav's compadres</t>
  </si>
  <si>
    <t>X</t>
  </si>
  <si>
    <t>Experiment 3: € 7,50 inschrijfgeld</t>
  </si>
  <si>
    <t xml:space="preserve">Do or die </t>
  </si>
  <si>
    <t>Portugal Stars Team</t>
  </si>
  <si>
    <t>Jan, bedankt voor 10 mooie jaren!</t>
  </si>
  <si>
    <t>Kleppers Algemeen</t>
  </si>
  <si>
    <t>IMPR 0 P0INTS</t>
  </si>
  <si>
    <t>De vruchten van mijn cursus prompten voor ChatGPT</t>
  </si>
  <si>
    <t>De eerste pannenkoeken zijn voor de kinderen</t>
  </si>
  <si>
    <t xml:space="preserve">Rana </t>
  </si>
  <si>
    <t>Experiment 1: een ploeg met 12 renners (wie wil dat nou niet)</t>
  </si>
  <si>
    <t>GingerJipAlltheway</t>
  </si>
  <si>
    <t>Eindeloos</t>
  </si>
  <si>
    <t>Chris</t>
  </si>
  <si>
    <t>Tijdritloos</t>
  </si>
  <si>
    <t>Dobar Raki</t>
  </si>
  <si>
    <t>Laat, Laat, Laat maar dit jaar</t>
  </si>
  <si>
    <t>Het mediane scenario volgens die oude ALM'er</t>
  </si>
  <si>
    <t>De Kromme Stuur</t>
  </si>
  <si>
    <t>Portugal Mercer Selection</t>
  </si>
  <si>
    <t>Kleppers Sterke Mannen</t>
  </si>
  <si>
    <t>Kleppers Punch</t>
  </si>
  <si>
    <t>Toosd’rrenners</t>
  </si>
  <si>
    <t>De Gelukszoekers</t>
  </si>
  <si>
    <t>TeamJoao</t>
  </si>
  <si>
    <t>TEAM GIETHMEN</t>
  </si>
  <si>
    <t>Fjallgeiturnar</t>
  </si>
  <si>
    <t>Slecht weer scenario volgens die oude ALM'er</t>
  </si>
  <si>
    <t>Adamski</t>
  </si>
  <si>
    <t>Allegaertje</t>
  </si>
  <si>
    <t>Experiment 5: eind de anonimiteit!</t>
  </si>
  <si>
    <t>Lena Raki</t>
  </si>
  <si>
    <t>King Kung</t>
  </si>
  <si>
    <t>De Persmuskieten</t>
  </si>
  <si>
    <t>De Kannibaal</t>
  </si>
  <si>
    <t>Portugal TimeTrialSpecialists</t>
  </si>
  <si>
    <t>Lucky Leiden</t>
  </si>
  <si>
    <t>Dit scenario zorgt voor veel stress</t>
  </si>
  <si>
    <t>Voor elkaar</t>
  </si>
  <si>
    <t>Goed weer scenario volgens die oude ALM'er</t>
  </si>
  <si>
    <t>POGI, CHASSE PATATE EN DE REST</t>
  </si>
  <si>
    <t>King Kong</t>
  </si>
  <si>
    <t>Pensionado!</t>
  </si>
  <si>
    <t>Experiment 2: de 1e reserve vervangt de 1e uitvaller</t>
  </si>
  <si>
    <t>"B" Block Palmares</t>
  </si>
  <si>
    <t>TeamPrimoz</t>
  </si>
  <si>
    <t>The runners</t>
  </si>
  <si>
    <t>The spiedies</t>
  </si>
  <si>
    <t>Bewusteloos</t>
  </si>
  <si>
    <t>Organisatie bedankt voor zoveel trouwe jaren</t>
  </si>
  <si>
    <t>We gaan dooRRRRR</t>
  </si>
  <si>
    <t>Spaans onderonsje</t>
  </si>
  <si>
    <t>Kokkie</t>
  </si>
  <si>
    <t>The Yellow riders</t>
  </si>
  <si>
    <t>Grootste verzet</t>
  </si>
  <si>
    <t>de wielerfanaten</t>
  </si>
  <si>
    <t>B-team</t>
  </si>
  <si>
    <t>BedanktVoorAlUwInschijfgeld!</t>
  </si>
  <si>
    <t>Gemini</t>
  </si>
  <si>
    <t>Put your money where your mouth is</t>
  </si>
  <si>
    <t>Mooi team maar weer</t>
  </si>
  <si>
    <t>Zo voorspelbaar</t>
  </si>
  <si>
    <t>Chasse Kroket</t>
  </si>
  <si>
    <t>raddraaiers</t>
  </si>
  <si>
    <t>KleppersBerg</t>
  </si>
  <si>
    <t>oranje boven</t>
  </si>
  <si>
    <t>Hard gaat-ie weer</t>
  </si>
  <si>
    <t>Op-de-Valreep</t>
  </si>
  <si>
    <t>ĦѦЯ₼ΣИ №①</t>
  </si>
  <si>
    <t>Classement général provisoire!!!!</t>
  </si>
  <si>
    <t>Champs-sans-Élysées (tip: ALT+144)</t>
  </si>
  <si>
    <t>Anonymat garanti?</t>
  </si>
  <si>
    <t>Pogacar en de rest</t>
  </si>
  <si>
    <t>Quintana</t>
  </si>
  <si>
    <t>Quelle surprise</t>
  </si>
  <si>
    <t>Pechvogels, Uilskuikens en Angsthazen 2023</t>
  </si>
  <si>
    <t>Oui don't parler french 2024</t>
  </si>
  <si>
    <t>Juliana bedankt, voor meer dan 30 jaren</t>
  </si>
  <si>
    <t>La Fausto Coppi</t>
  </si>
  <si>
    <t>FF poepie laten ruiken</t>
  </si>
  <si>
    <t>Team</t>
  </si>
  <si>
    <t>Klassering</t>
  </si>
  <si>
    <t>verschil eind -/- mediaan</t>
  </si>
  <si>
    <t xml:space="preserve">Golden Oldies </t>
  </si>
  <si>
    <t>De Gelukzoekers</t>
  </si>
  <si>
    <t>Scorpions</t>
  </si>
  <si>
    <t>Sanvanel</t>
  </si>
  <si>
    <t>No Mercer</t>
  </si>
  <si>
    <t>TeAm ToUrToTo</t>
  </si>
  <si>
    <t>Geen Doel, Geen Glorie</t>
  </si>
  <si>
    <t>de buitenbladharkers</t>
  </si>
  <si>
    <t>de linkeballen</t>
  </si>
  <si>
    <t>Tour de Boer</t>
  </si>
  <si>
    <t>F3</t>
  </si>
  <si>
    <t>Cactus</t>
  </si>
  <si>
    <t>de achterstevorenfietsers</t>
  </si>
  <si>
    <t>Cavallino Rampante</t>
  </si>
  <si>
    <t>Team Koekstad</t>
  </si>
  <si>
    <t>Veni, Bini, Foetsie</t>
  </si>
  <si>
    <t>De Sprintmuskieten</t>
  </si>
  <si>
    <t>F2</t>
  </si>
  <si>
    <t>Toppers</t>
  </si>
  <si>
    <t>F1</t>
  </si>
  <si>
    <t>Touraround</t>
  </si>
  <si>
    <t>de kloosterleuteraars</t>
  </si>
  <si>
    <t>F4</t>
  </si>
  <si>
    <t>1664 in mijn Bidonnetje</t>
  </si>
  <si>
    <t>The Runners</t>
  </si>
  <si>
    <t>The Spiedies</t>
  </si>
  <si>
    <t>Pas de risque</t>
  </si>
  <si>
    <t>Kooij , Olav</t>
  </si>
  <si>
    <t>Philipsen , Jasper</t>
  </si>
  <si>
    <t>Snelle Jelle</t>
  </si>
  <si>
    <t>Wærenskjold , Søren</t>
  </si>
  <si>
    <t>Girmay Hailu , Biniam</t>
  </si>
  <si>
    <t>Fretin , Milan</t>
  </si>
  <si>
    <t>Rad-du-tour</t>
  </si>
  <si>
    <t>Vive le risque</t>
  </si>
  <si>
    <t>Gebroeders Santossi</t>
  </si>
  <si>
    <t>Allihanz</t>
  </si>
  <si>
    <t>Ackermann , Pascal</t>
  </si>
  <si>
    <t>Tslonavoibaf</t>
  </si>
  <si>
    <t>Op losse groeven</t>
  </si>
  <si>
    <t>Podium of jodium!</t>
  </si>
  <si>
    <t>Russo , Clement</t>
  </si>
  <si>
    <t>Kater Jip op de racefiets</t>
  </si>
  <si>
    <t>UAE+2</t>
  </si>
  <si>
    <t>StoopRenners</t>
  </si>
  <si>
    <t>LANGWEER KIDS</t>
  </si>
  <si>
    <t>StoopTrappers</t>
  </si>
  <si>
    <t>Le Boulanger</t>
  </si>
  <si>
    <t>StoopToppers</t>
  </si>
  <si>
    <t>Resultaten uit het verleden</t>
  </si>
  <si>
    <t>Beertje's wielerploeg</t>
  </si>
  <si>
    <t>De kale kasseienkoppen</t>
  </si>
  <si>
    <t>StoopOutsiders</t>
  </si>
  <si>
    <t>Kleppers GC</t>
  </si>
  <si>
    <t>Roanotelli</t>
  </si>
  <si>
    <t>Willen het podium bereiken</t>
  </si>
  <si>
    <t xml:space="preserve">Levante </t>
  </si>
  <si>
    <t>FromTheWoods</t>
  </si>
  <si>
    <t>OctopusGijs</t>
  </si>
  <si>
    <t>PP's Punchers</t>
  </si>
  <si>
    <t xml:space="preserve">The young ones </t>
  </si>
  <si>
    <t>Tour du renard rusé</t>
  </si>
  <si>
    <t>Turgis , Anthony</t>
  </si>
  <si>
    <t>Erna's Angels</t>
  </si>
  <si>
    <t>de om-hun-moeder-roepers</t>
  </si>
  <si>
    <t>SCHARSTERRIJN UNITED</t>
  </si>
  <si>
    <t>Pechvogels zijn terug</t>
  </si>
  <si>
    <t>Wat is het weer moeilijk</t>
  </si>
  <si>
    <t>The Shortys outsiders</t>
  </si>
  <si>
    <t>StoopSpurters</t>
  </si>
  <si>
    <t>Wij komen verder dan de laatste 32</t>
  </si>
  <si>
    <t>Dark Vader</t>
  </si>
  <si>
    <t>Hopenlijk een goede mix</t>
  </si>
  <si>
    <t>Kleppers Chalk</t>
  </si>
  <si>
    <t>Stuntpiloten</t>
  </si>
  <si>
    <t>Fly like a butterfly</t>
  </si>
  <si>
    <t>Prancing Peloton by ChatGPT</t>
  </si>
  <si>
    <t>Kats noar de klote</t>
  </si>
  <si>
    <t>Hebben weleens een etappetje gewonnen</t>
  </si>
  <si>
    <t>Hingstman Ultra's</t>
  </si>
  <si>
    <t>Super Dolimiti</t>
  </si>
  <si>
    <t>Schoone Cycling Team (SCT)</t>
  </si>
  <si>
    <t>Les Pay-Bas</t>
  </si>
  <si>
    <t>Artz , Huub</t>
  </si>
  <si>
    <t>Voor Goud!</t>
  </si>
  <si>
    <t>Sprinten al van hun geboorte</t>
  </si>
  <si>
    <t>The usual suspects</t>
  </si>
  <si>
    <t>Kleppers Break</t>
  </si>
  <si>
    <t>BOORNZWAAG LADIES</t>
  </si>
  <si>
    <t>arCodan</t>
  </si>
  <si>
    <t>NK Bad Sluggers</t>
  </si>
  <si>
    <t>TOP 10 UCI</t>
  </si>
  <si>
    <t>Een van hen heet Craps, dat zegt al genoeg</t>
  </si>
  <si>
    <t>Tandje Klein</t>
  </si>
  <si>
    <t>McWinnen</t>
  </si>
  <si>
    <t>Gaviria, Fernando</t>
  </si>
  <si>
    <t>Kowet! Kowet? Go Ahead. Eeeaagles!</t>
  </si>
  <si>
    <t>Carlijn is weer bij</t>
  </si>
  <si>
    <t>Als ik je een tip mag geven….</t>
  </si>
  <si>
    <t>Amai kroket</t>
  </si>
  <si>
    <t>Energus</t>
  </si>
  <si>
    <t>Waar begin ik aan....</t>
  </si>
  <si>
    <t>Bloody Climbs &amp; Breakaway Vibes</t>
  </si>
  <si>
    <t>Snap niets van de tour</t>
  </si>
  <si>
    <t>Vleuten 4</t>
  </si>
  <si>
    <t>Vleuten 1</t>
  </si>
  <si>
    <t>Slag om slinger</t>
  </si>
  <si>
    <t>Squadra significativa</t>
  </si>
  <si>
    <t>Gouwespurt</t>
  </si>
  <si>
    <t>Naar de ratsmodee?</t>
  </si>
  <si>
    <t>Vleuten 2</t>
  </si>
  <si>
    <t>Burpocyclette 2</t>
  </si>
  <si>
    <t>Burpocyclette 1</t>
  </si>
  <si>
    <t>Vleuten 3</t>
  </si>
  <si>
    <t>Vleuten 5</t>
  </si>
  <si>
    <t>Niet zo moeilijk dit jaar</t>
  </si>
  <si>
    <t>Te vroeg afgeschreven</t>
  </si>
  <si>
    <t>Portugal Outsiders</t>
  </si>
  <si>
    <t>Eduardo Chozas</t>
  </si>
  <si>
    <t>Klimmen, waaiers, tandenknarsen, pijn en souplesse</t>
  </si>
  <si>
    <t>Rana Pahladsingh</t>
  </si>
  <si>
    <t>De passieve topatleet - Allstars</t>
  </si>
  <si>
    <t>Nooit van gehoord</t>
  </si>
  <si>
    <t>Sonnet 5</t>
  </si>
  <si>
    <t>De Flakkeese Boys</t>
  </si>
  <si>
    <t>De Stuurliggers</t>
  </si>
  <si>
    <t>De Mik's Maniaks</t>
  </si>
  <si>
    <t>Power Rangers</t>
  </si>
  <si>
    <t>net niet (deel 16)</t>
  </si>
  <si>
    <t>Namen zeggen me niets rugnummers moet ik hebben</t>
  </si>
  <si>
    <t>Chiapucci92</t>
  </si>
  <si>
    <t xml:space="preserve">A bicyclette </t>
  </si>
  <si>
    <t>Muskieten Galore</t>
  </si>
  <si>
    <t>30 jaar Mercer</t>
  </si>
  <si>
    <t>Sprintteams overleven de 3e week niet</t>
  </si>
  <si>
    <t>Joep en Lottie wielerploeg</t>
  </si>
  <si>
    <t>AMAI</t>
  </si>
  <si>
    <t>Lucky Leiden II</t>
  </si>
  <si>
    <t>Vroege vogels</t>
  </si>
  <si>
    <t>De Alpesientjes</t>
  </si>
  <si>
    <t>Haaien</t>
  </si>
  <si>
    <t>Totale willekeur</t>
  </si>
  <si>
    <t>Abu Dhabi, Dubai, Sharjah, Ajman, Fujairah, Ras Al Khaimah en Umm Al-Quwain</t>
  </si>
  <si>
    <t>Hoop is uitgestelde Teleurstelling</t>
  </si>
  <si>
    <t>Ninja Turtles</t>
  </si>
  <si>
    <t>Cabras-das-montanhas</t>
  </si>
  <si>
    <t>toppers in de bergen</t>
  </si>
  <si>
    <t>Portugal Time Trial team</t>
  </si>
  <si>
    <t>Faith no more</t>
  </si>
  <si>
    <t>Next Level Stofwolk</t>
  </si>
  <si>
    <t>Oei Oei daar is de muur van Huy</t>
  </si>
  <si>
    <t>Sprintercity</t>
  </si>
  <si>
    <t>Het Doel is de pot</t>
  </si>
  <si>
    <t>HOCKEYFOTOGRAFIE.NL</t>
  </si>
  <si>
    <t>Lucky Leiden I</t>
  </si>
  <si>
    <t>Team Lost</t>
  </si>
  <si>
    <t>🚲🚲🚲🚲🚲🚲🚲🚲🚲🚲🚲🚲🚲🚲🚲🚲</t>
  </si>
  <si>
    <t>CODE GEEL! Drie weken binnen blijven en TV kijken, mensen!</t>
  </si>
  <si>
    <t xml:space="preserve">Quint wint </t>
  </si>
  <si>
    <t>kettingsmeerders</t>
  </si>
  <si>
    <t>Red Bull geeft je ….</t>
  </si>
  <si>
    <t>wij houden ons op de vlakte</t>
  </si>
  <si>
    <t>TYR nemen KODB en zeggen dag tegen de Shorties</t>
  </si>
  <si>
    <t>Estepona: El Jardín de la Costa del Sol</t>
  </si>
  <si>
    <t>[hier nog een geinige ploegnaam invullen]</t>
  </si>
  <si>
    <t>Als je doet wat je deed, krijg je wat je kreeg</t>
  </si>
  <si>
    <t>Leen een fiets</t>
  </si>
  <si>
    <t>Linkse rakkers</t>
  </si>
  <si>
    <t>TripleA la mejor</t>
  </si>
  <si>
    <t>Tu es fou?</t>
  </si>
  <si>
    <t>Vooraf zag het er zo kansrijk uit….</t>
  </si>
  <si>
    <t xml:space="preserve">Ne zäise en 'n wief mö'j neit uutleinen </t>
  </si>
  <si>
    <t>5-3-2</t>
  </si>
  <si>
    <t>Beter dan een aap (of niet)</t>
  </si>
  <si>
    <t>De passieve topatleet - Pogi en de 9 dagjesmensen</t>
  </si>
  <si>
    <t>De passieve topatleet - AK kanjers</t>
  </si>
  <si>
    <t xml:space="preserve">Stichting samenvoorPim (www.samenvoorpim.nl) </t>
  </si>
  <si>
    <t>Juste un peu trop tard</t>
  </si>
  <si>
    <t>Volgend jaar mét wissels?</t>
  </si>
  <si>
    <t>Postzegels behalen meer rendement</t>
  </si>
  <si>
    <t>Hier had uw boodschap kunnen staan</t>
  </si>
  <si>
    <t xml:space="preserve">Dubbele punten voor etappe 17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</si>
</sst>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&quot;-/- &quot;#,##0"/>
  </numFmts>
  <fonts count="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sz val="10"/>
      <color rgb="FF0070C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7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3" fontId="0" fillId="0" borderId="0" xfId="0" applyNumberFormat="1"/>
    <xf numFmtId="3" fontId="2" fillId="0" borderId="0" xfId="0" applyNumberFormat="1" applyFont="1"/>
    <xf numFmtId="164" fontId="0" fillId="0" borderId="0" xfId="0" applyNumberFormat="1"/>
    <xf numFmtId="164" fontId="1" fillId="0" borderId="0" xfId="0" applyNumberFormat="1" applyFont="1"/>
    <xf numFmtId="164" fontId="2" fillId="0" borderId="0" xfId="0" applyNumberFormat="1" applyFont="1"/>
    <xf numFmtId="164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5" fillId="2" borderId="0" xfId="0" applyNumberFormat="1" applyFont="1" applyFill="1"/>
    <xf numFmtId="164" fontId="5" fillId="0" borderId="0" xfId="0" applyNumberFormat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 wrapText="1"/>
    </xf>
    <xf numFmtId="0" fontId="0" fillId="0" borderId="0" xfId="0" applyAlignment="1">
      <alignment vertical="top"/>
    </xf>
  </cellXfs>
  <cellStyles count="5">
    <cellStyle name="Excel Built-in Normal" xfId="4" xr:uid="{465E0799-CE4B-4F18-A765-3F562703362E}"/>
    <cellStyle name="Hyperlink 2" xfId="2" xr:uid="{00000000-0005-0000-0000-000000000000}"/>
    <cellStyle name="Normal 2" xfId="3" xr:uid="{00000000-0005-0000-0000-000001000000}"/>
    <cellStyle name="Standaard" xfId="0" builtinId="0"/>
    <cellStyle name="Standaard 2" xfId="1" xr:uid="{00000000-0005-0000-0000-000003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529B4-CAEB-461D-BC33-D935209FC773}">
  <sheetPr codeName="Blad19">
    <tabColor rgb="FFFFFF00"/>
  </sheetPr>
  <dimension ref="A1:SJ27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5" sqref="A5"/>
    </sheetView>
  </sheetViews>
  <sheetFormatPr defaultColWidth="9.21875" defaultRowHeight="13.2" x14ac:dyDescent="0.25"/>
  <cols>
    <col min="1" max="1" width="26" style="9" bestFit="1" customWidth="1"/>
    <col min="2" max="2" width="5.5546875" style="9" bestFit="1" customWidth="1"/>
    <col min="3" max="3" width="3.77734375" style="9" customWidth="1"/>
    <col min="4" max="4" width="25.77734375" style="9" bestFit="1" customWidth="1"/>
    <col min="5" max="5" width="7.21875" style="9" bestFit="1" customWidth="1"/>
    <col min="6" max="6" width="7.21875" style="9" customWidth="1"/>
    <col min="7" max="7" width="21.77734375" style="9" bestFit="1" customWidth="1"/>
    <col min="8" max="8" width="4" style="9" bestFit="1" customWidth="1"/>
    <col min="9" max="9" width="16.5546875" style="9" bestFit="1" customWidth="1"/>
    <col min="10" max="10" width="4" style="9" bestFit="1" customWidth="1"/>
    <col min="11" max="11" width="24.77734375" style="9" bestFit="1" customWidth="1"/>
    <col min="12" max="12" width="5.5546875" style="9" bestFit="1" customWidth="1"/>
    <col min="13" max="13" width="26.77734375" style="9" bestFit="1" customWidth="1"/>
    <col min="14" max="14" width="4" style="9" bestFit="1" customWidth="1"/>
    <col min="15" max="15" width="16.77734375" style="9" bestFit="1" customWidth="1"/>
    <col min="16" max="16" width="5.5546875" style="9" bestFit="1" customWidth="1"/>
    <col min="17" max="17" width="16.5546875" style="9" bestFit="1" customWidth="1"/>
    <col min="18" max="18" width="4" style="9" bestFit="1" customWidth="1"/>
    <col min="19" max="19" width="16.77734375" style="9" bestFit="1" customWidth="1"/>
    <col min="20" max="20" width="5.5546875" style="9" bestFit="1" customWidth="1"/>
    <col min="21" max="21" width="23.44140625" style="9" bestFit="1" customWidth="1"/>
    <col min="22" max="22" width="5.5546875" style="9" bestFit="1" customWidth="1"/>
    <col min="23" max="23" width="23.5546875" style="9" bestFit="1" customWidth="1"/>
    <col min="24" max="24" width="4" style="9" bestFit="1" customWidth="1"/>
    <col min="25" max="25" width="26" style="9" bestFit="1" customWidth="1"/>
    <col min="26" max="26" width="5.5546875" style="9" bestFit="1" customWidth="1"/>
    <col min="27" max="27" width="20.44140625" style="9" bestFit="1" customWidth="1"/>
    <col min="28" max="28" width="4" style="9" bestFit="1" customWidth="1"/>
    <col min="29" max="29" width="20.44140625" style="9" bestFit="1" customWidth="1"/>
    <col min="30" max="30" width="4" style="9" bestFit="1" customWidth="1"/>
    <col min="31" max="31" width="23" style="9" bestFit="1" customWidth="1"/>
    <col min="32" max="32" width="4" style="9" bestFit="1" customWidth="1"/>
    <col min="33" max="33" width="26.77734375" style="9" bestFit="1" customWidth="1"/>
    <col min="34" max="34" width="4" style="9" bestFit="1" customWidth="1"/>
    <col min="35" max="35" width="20.44140625" style="9" bestFit="1" customWidth="1"/>
    <col min="36" max="36" width="4" style="9" bestFit="1" customWidth="1"/>
    <col min="37" max="37" width="18.5546875" style="9" bestFit="1" customWidth="1"/>
    <col min="38" max="38" width="5.5546875" style="9" bestFit="1" customWidth="1"/>
    <col min="39" max="39" width="21.77734375" style="9" bestFit="1" customWidth="1"/>
    <col min="40" max="40" width="4" style="9" bestFit="1" customWidth="1"/>
    <col min="41" max="41" width="18.44140625" style="9" bestFit="1" customWidth="1"/>
    <col min="42" max="42" width="5.5546875" style="9" bestFit="1" customWidth="1"/>
    <col min="43" max="43" width="18.77734375" style="9" bestFit="1" customWidth="1"/>
    <col min="44" max="44" width="5.5546875" style="9" bestFit="1" customWidth="1"/>
    <col min="45" max="45" width="26" style="9" bestFit="1" customWidth="1"/>
    <col min="46" max="46" width="5.5546875" style="9" bestFit="1" customWidth="1"/>
    <col min="47" max="47" width="21.77734375" style="9" bestFit="1" customWidth="1"/>
    <col min="48" max="48" width="5.5546875" style="9" bestFit="1" customWidth="1"/>
    <col min="49" max="49" width="26" style="9" bestFit="1" customWidth="1"/>
    <col min="50" max="50" width="4" style="9" bestFit="1" customWidth="1"/>
    <col min="51" max="51" width="20.77734375" style="9" bestFit="1" customWidth="1"/>
    <col min="52" max="52" width="4" style="9" bestFit="1" customWidth="1"/>
    <col min="53" max="53" width="23" style="9" bestFit="1" customWidth="1"/>
    <col min="54" max="54" width="4" style="9" bestFit="1" customWidth="1"/>
    <col min="55" max="55" width="25.77734375" style="9" bestFit="1" customWidth="1"/>
    <col min="56" max="56" width="4" style="9" bestFit="1" customWidth="1"/>
    <col min="57" max="57" width="25.77734375" style="9" bestFit="1" customWidth="1"/>
    <col min="58" max="58" width="4" style="9" bestFit="1" customWidth="1"/>
    <col min="59" max="59" width="18" style="9" bestFit="1" customWidth="1"/>
    <col min="60" max="60" width="4" style="9" bestFit="1" customWidth="1"/>
    <col min="61" max="61" width="23.5546875" style="9" bestFit="1" customWidth="1"/>
    <col min="62" max="62" width="4" style="9" bestFit="1" customWidth="1"/>
    <col min="63" max="63" width="14.5546875" style="9" bestFit="1" customWidth="1"/>
    <col min="64" max="64" width="4" style="9" customWidth="1"/>
    <col min="65" max="65" width="18.21875" style="9" bestFit="1" customWidth="1"/>
    <col min="66" max="66" width="5.5546875" style="9" bestFit="1" customWidth="1"/>
    <col min="67" max="67" width="15.77734375" style="9" bestFit="1" customWidth="1"/>
    <col min="68" max="68" width="5.5546875" style="9" bestFit="1" customWidth="1"/>
    <col min="69" max="69" width="23" style="9" bestFit="1" customWidth="1"/>
    <col min="70" max="70" width="4" style="9" customWidth="1"/>
    <col min="71" max="71" width="21.5546875" style="9" bestFit="1" customWidth="1"/>
    <col min="72" max="72" width="4" style="9" customWidth="1"/>
    <col min="73" max="73" width="26.77734375" style="9" bestFit="1" customWidth="1"/>
    <col min="74" max="74" width="5.5546875" style="9" bestFit="1" customWidth="1"/>
    <col min="75" max="75" width="20.5546875" style="9" bestFit="1" customWidth="1"/>
    <col min="76" max="76" width="4" style="9" customWidth="1"/>
    <col min="77" max="77" width="19.44140625" style="9" bestFit="1" customWidth="1"/>
    <col min="78" max="78" width="4" style="9" customWidth="1"/>
    <col min="79" max="79" width="19.21875" style="9" bestFit="1" customWidth="1"/>
    <col min="80" max="80" width="5.5546875" style="9" bestFit="1" customWidth="1"/>
    <col min="81" max="81" width="15.5546875" style="9" bestFit="1" customWidth="1"/>
    <col min="82" max="82" width="4" style="9" customWidth="1"/>
    <col min="83" max="83" width="25.77734375" style="9" bestFit="1" customWidth="1"/>
    <col min="84" max="84" width="4" style="9" customWidth="1"/>
    <col min="85" max="85" width="26" style="9" bestFit="1" customWidth="1"/>
    <col min="86" max="86" width="4" style="9" customWidth="1"/>
    <col min="87" max="87" width="18.21875" style="9" bestFit="1" customWidth="1"/>
    <col min="88" max="88" width="5.5546875" style="9" bestFit="1" customWidth="1"/>
    <col min="89" max="89" width="21.77734375" style="9" bestFit="1" customWidth="1"/>
    <col min="90" max="90" width="5.5546875" style="9" bestFit="1" customWidth="1"/>
    <col min="91" max="91" width="23.44140625" style="9" bestFit="1" customWidth="1"/>
    <col min="92" max="92" width="4" style="9" customWidth="1"/>
    <col min="93" max="93" width="23.44140625" style="9" bestFit="1" customWidth="1"/>
    <col min="94" max="94" width="4" style="9" customWidth="1"/>
    <col min="95" max="95" width="25.77734375" style="9" bestFit="1" customWidth="1"/>
    <col min="96" max="96" width="4" style="9" customWidth="1"/>
    <col min="97" max="97" width="18.77734375" style="9" bestFit="1" customWidth="1"/>
    <col min="98" max="98" width="4" style="9" customWidth="1"/>
    <col min="99" max="99" width="26" style="9" bestFit="1" customWidth="1"/>
    <col min="100" max="100" width="5.5546875" style="9" bestFit="1" customWidth="1"/>
    <col min="101" max="101" width="19.21875" style="9" bestFit="1" customWidth="1"/>
    <col min="102" max="102" width="5.5546875" style="9" bestFit="1" customWidth="1"/>
    <col min="103" max="103" width="23" style="9" bestFit="1" customWidth="1"/>
    <col min="104" max="104" width="4" style="9" customWidth="1"/>
    <col min="105" max="105" width="16.77734375" style="9" bestFit="1" customWidth="1"/>
    <col min="106" max="106" width="4" style="9" customWidth="1"/>
    <col min="107" max="107" width="23.77734375" style="9" bestFit="1" customWidth="1"/>
    <col min="108" max="108" width="4" style="9" customWidth="1"/>
    <col min="109" max="109" width="23" style="9" bestFit="1" customWidth="1"/>
    <col min="110" max="110" width="4" style="9" customWidth="1"/>
    <col min="111" max="111" width="23.77734375" style="9" bestFit="1" customWidth="1"/>
    <col min="112" max="112" width="4" style="9" customWidth="1"/>
    <col min="113" max="113" width="20.5546875" style="9" bestFit="1" customWidth="1"/>
    <col min="114" max="114" width="5.5546875" style="9" bestFit="1" customWidth="1"/>
    <col min="115" max="115" width="18" style="9" bestFit="1" customWidth="1"/>
    <col min="116" max="116" width="5.5546875" style="9" bestFit="1" customWidth="1"/>
    <col min="117" max="117" width="25.77734375" style="9" bestFit="1" customWidth="1"/>
    <col min="118" max="118" width="4" style="9" customWidth="1"/>
    <col min="119" max="119" width="26" style="9" bestFit="1" customWidth="1"/>
    <col min="120" max="120" width="5.5546875" style="9" bestFit="1" customWidth="1"/>
    <col min="121" max="121" width="23.77734375" style="9" bestFit="1" customWidth="1"/>
    <col min="122" max="122" width="4" style="9" customWidth="1"/>
    <col min="123" max="123" width="23" style="9" bestFit="1" customWidth="1"/>
    <col min="124" max="124" width="4" style="9" customWidth="1"/>
    <col min="125" max="125" width="16.77734375" style="9" bestFit="1" customWidth="1"/>
    <col min="126" max="126" width="5.5546875" style="9" bestFit="1" customWidth="1"/>
    <col min="127" max="127" width="16.44140625" style="9" bestFit="1" customWidth="1"/>
    <col min="128" max="128" width="4" style="9" customWidth="1"/>
    <col min="129" max="129" width="15.5546875" style="9" bestFit="1" customWidth="1"/>
    <col min="130" max="130" width="4" style="9" customWidth="1"/>
    <col min="131" max="131" width="18" style="9" bestFit="1" customWidth="1"/>
    <col min="132" max="132" width="5.5546875" style="9" bestFit="1" customWidth="1"/>
    <col min="133" max="133" width="22.21875" style="9" bestFit="1" customWidth="1"/>
    <col min="134" max="134" width="5.5546875" style="9" bestFit="1" customWidth="1"/>
    <col min="135" max="135" width="21.5546875" style="9" bestFit="1" customWidth="1"/>
    <col min="136" max="136" width="4" style="9" customWidth="1"/>
    <col min="137" max="137" width="21.5546875" style="9" bestFit="1" customWidth="1"/>
    <col min="138" max="138" width="4" style="9" customWidth="1"/>
    <col min="139" max="139" width="18.77734375" style="9" bestFit="1" customWidth="1"/>
    <col min="140" max="140" width="5.5546875" style="9" bestFit="1" customWidth="1"/>
    <col min="141" max="141" width="14.5546875" style="9" bestFit="1" customWidth="1"/>
    <col min="142" max="142" width="4" style="9" customWidth="1"/>
    <col min="143" max="143" width="25.77734375" style="9" bestFit="1" customWidth="1"/>
    <col min="144" max="144" width="5.5546875" style="9" bestFit="1" customWidth="1"/>
    <col min="145" max="145" width="23.5546875" style="9" bestFit="1" customWidth="1"/>
    <col min="146" max="146" width="5.5546875" style="9" bestFit="1" customWidth="1"/>
    <col min="147" max="147" width="23" style="9" bestFit="1" customWidth="1"/>
    <col min="148" max="148" width="5.5546875" style="9" bestFit="1" customWidth="1"/>
    <col min="149" max="149" width="23.77734375" style="9" bestFit="1" customWidth="1"/>
    <col min="150" max="150" width="5.5546875" style="9" bestFit="1" customWidth="1"/>
    <col min="151" max="151" width="18.21875" style="9" bestFit="1" customWidth="1"/>
    <col min="152" max="152" width="4" style="9" customWidth="1"/>
    <col min="153" max="153" width="17.77734375" style="9" bestFit="1" customWidth="1"/>
    <col min="154" max="154" width="4" style="9" customWidth="1"/>
    <col min="155" max="155" width="20.44140625" style="9" bestFit="1" customWidth="1"/>
    <col min="156" max="156" width="5.5546875" style="9" bestFit="1" customWidth="1"/>
    <col min="157" max="157" width="26" style="9" bestFit="1" customWidth="1"/>
    <col min="158" max="158" width="4" style="9" customWidth="1"/>
    <col min="159" max="159" width="23.77734375" style="9" bestFit="1" customWidth="1"/>
    <col min="160" max="160" width="4" style="9" customWidth="1"/>
    <col min="161" max="161" width="23.5546875" style="9" bestFit="1" customWidth="1"/>
    <col min="162" max="162" width="4" style="9" customWidth="1"/>
    <col min="163" max="163" width="24.77734375" style="9" bestFit="1" customWidth="1"/>
    <col min="164" max="164" width="5.5546875" style="9" bestFit="1" customWidth="1"/>
    <col min="165" max="165" width="17.77734375" style="9" bestFit="1" customWidth="1"/>
    <col min="166" max="166" width="5.5546875" style="9" bestFit="1" customWidth="1"/>
    <col min="167" max="167" width="22.21875" style="9" bestFit="1" customWidth="1"/>
    <col min="168" max="168" width="5.5546875" style="9" bestFit="1" customWidth="1"/>
    <col min="169" max="169" width="23.77734375" style="9" bestFit="1" customWidth="1"/>
    <col min="170" max="170" width="5.5546875" style="9" bestFit="1" customWidth="1"/>
    <col min="171" max="171" width="22.21875" style="9" bestFit="1" customWidth="1"/>
    <col min="172" max="172" width="5.5546875" style="9" bestFit="1" customWidth="1"/>
    <col min="173" max="173" width="18.5546875" style="9" bestFit="1" customWidth="1"/>
    <col min="174" max="174" width="5.5546875" style="9" bestFit="1" customWidth="1"/>
    <col min="175" max="175" width="18" style="9" bestFit="1" customWidth="1"/>
    <col min="176" max="176" width="5.5546875" style="9" bestFit="1" customWidth="1"/>
    <col min="177" max="177" width="26" style="9" bestFit="1" customWidth="1"/>
    <col min="178" max="178" width="5.5546875" style="9" bestFit="1" customWidth="1"/>
    <col min="179" max="179" width="26" style="9" bestFit="1" customWidth="1"/>
    <col min="180" max="180" width="4" style="9" customWidth="1"/>
    <col min="181" max="181" width="16" style="9" bestFit="1" customWidth="1"/>
    <col min="182" max="182" width="5.5546875" style="9" bestFit="1" customWidth="1"/>
    <col min="183" max="183" width="24.77734375" style="9" bestFit="1" customWidth="1"/>
    <col min="184" max="184" width="5.5546875" style="9" bestFit="1" customWidth="1"/>
    <col min="185" max="185" width="23.5546875" style="9" bestFit="1" customWidth="1"/>
    <col min="186" max="186" width="4" style="9" customWidth="1"/>
    <col min="187" max="187" width="23.44140625" style="9" bestFit="1" customWidth="1"/>
    <col min="188" max="188" width="5.5546875" style="9" bestFit="1" customWidth="1"/>
    <col min="189" max="189" width="23.77734375" style="9" bestFit="1" customWidth="1"/>
    <col min="190" max="190" width="4" style="9" customWidth="1"/>
    <col min="191" max="191" width="19.44140625" style="9" bestFit="1" customWidth="1"/>
    <col min="192" max="192" width="5.5546875" style="9" bestFit="1" customWidth="1"/>
    <col min="193" max="193" width="17.77734375" style="9" bestFit="1" customWidth="1"/>
    <col min="194" max="194" width="4" style="9" customWidth="1"/>
    <col min="195" max="195" width="18.21875" style="9" bestFit="1" customWidth="1"/>
    <col min="196" max="196" width="4" style="9" customWidth="1"/>
    <col min="197" max="197" width="25.77734375" style="9" bestFit="1" customWidth="1"/>
    <col min="198" max="198" width="4" style="9" customWidth="1"/>
    <col min="199" max="199" width="25.77734375" style="9" bestFit="1" customWidth="1"/>
    <col min="200" max="200" width="4" style="9" customWidth="1"/>
    <col min="201" max="201" width="25.77734375" style="9" bestFit="1" customWidth="1"/>
    <col min="202" max="202" width="4" style="9" customWidth="1"/>
    <col min="203" max="203" width="17" style="9" bestFit="1" customWidth="1"/>
    <col min="204" max="204" width="5.5546875" style="9" bestFit="1" customWidth="1"/>
    <col min="205" max="205" width="22.21875" style="9" bestFit="1" customWidth="1"/>
    <col min="206" max="206" width="5.5546875" style="9" bestFit="1" customWidth="1"/>
    <col min="207" max="207" width="18.77734375" style="9" bestFit="1" customWidth="1"/>
    <col min="208" max="208" width="4" style="9" customWidth="1"/>
    <col min="209" max="209" width="20.21875" style="9" bestFit="1" customWidth="1"/>
    <col min="210" max="210" width="4" style="9" customWidth="1"/>
    <col min="211" max="211" width="17.44140625" style="9" bestFit="1" customWidth="1"/>
    <col min="212" max="212" width="4" style="9" customWidth="1"/>
    <col min="213" max="213" width="23" style="9" bestFit="1" customWidth="1"/>
    <col min="214" max="214" width="5.5546875" style="9" bestFit="1" customWidth="1"/>
    <col min="215" max="215" width="25.77734375" style="9" bestFit="1" customWidth="1"/>
    <col min="216" max="216" width="4" style="9" customWidth="1"/>
    <col min="217" max="217" width="25.77734375" style="9" bestFit="1" customWidth="1"/>
    <col min="218" max="218" width="5.5546875" style="9" bestFit="1" customWidth="1"/>
    <col min="219" max="219" width="20.5546875" style="9" bestFit="1" customWidth="1"/>
    <col min="220" max="220" width="4" style="9" customWidth="1"/>
    <col min="221" max="221" width="21.5546875" style="9" bestFit="1" customWidth="1"/>
    <col min="222" max="222" width="4" style="9" customWidth="1"/>
    <col min="223" max="223" width="18.5546875" style="9" bestFit="1" customWidth="1"/>
    <col min="224" max="224" width="4" style="9" customWidth="1"/>
    <col min="225" max="225" width="25.77734375" style="9" bestFit="1" customWidth="1"/>
    <col min="226" max="226" width="4" style="9" customWidth="1"/>
    <col min="227" max="227" width="25.77734375" style="9" bestFit="1" customWidth="1"/>
    <col min="228" max="228" width="4" style="9" customWidth="1"/>
    <col min="229" max="229" width="22.21875" style="9" bestFit="1" customWidth="1"/>
    <col min="230" max="230" width="4" style="9" customWidth="1"/>
    <col min="231" max="231" width="18.21875" style="9" bestFit="1" customWidth="1"/>
    <col min="232" max="232" width="5.5546875" style="9" bestFit="1" customWidth="1"/>
    <col min="233" max="233" width="20.21875" style="9" bestFit="1" customWidth="1"/>
    <col min="234" max="234" width="4" style="9" customWidth="1"/>
    <col min="235" max="235" width="26.77734375" style="9" bestFit="1" customWidth="1"/>
    <col min="236" max="236" width="4" style="9" customWidth="1"/>
    <col min="237" max="237" width="17" style="9" bestFit="1" customWidth="1"/>
    <col min="238" max="238" width="5.5546875" style="9" bestFit="1" customWidth="1"/>
    <col min="239" max="239" width="25.77734375" style="9" bestFit="1" customWidth="1"/>
    <col min="240" max="240" width="5.5546875" style="9" bestFit="1" customWidth="1"/>
    <col min="241" max="241" width="23.77734375" style="9" bestFit="1" customWidth="1"/>
    <col min="242" max="242" width="4" style="9" customWidth="1"/>
    <col min="243" max="243" width="26.77734375" style="9" bestFit="1" customWidth="1"/>
    <col min="244" max="244" width="5.5546875" style="9" bestFit="1" customWidth="1"/>
    <col min="245" max="245" width="21" style="9" bestFit="1" customWidth="1"/>
    <col min="246" max="246" width="5.5546875" style="9" bestFit="1" customWidth="1"/>
    <col min="247" max="247" width="25.77734375" style="9" bestFit="1" customWidth="1"/>
    <col min="248" max="248" width="4" style="9" customWidth="1"/>
    <col min="249" max="249" width="20.77734375" style="9" bestFit="1" customWidth="1"/>
    <col min="250" max="250" width="5.5546875" style="9" bestFit="1" customWidth="1"/>
    <col min="251" max="251" width="15" style="9" bestFit="1" customWidth="1"/>
    <col min="252" max="252" width="4" style="9" customWidth="1"/>
    <col min="253" max="253" width="23.77734375" style="9" bestFit="1" customWidth="1"/>
    <col min="254" max="254" width="5.5546875" style="9" bestFit="1" customWidth="1"/>
    <col min="255" max="255" width="20.44140625" style="9" bestFit="1" customWidth="1"/>
    <col min="256" max="256" width="4" style="9" customWidth="1"/>
    <col min="257" max="257" width="23.44140625" style="9" bestFit="1" customWidth="1"/>
    <col min="258" max="258" width="5.5546875" style="9" bestFit="1" customWidth="1"/>
    <col min="259" max="259" width="20.5546875" style="9" bestFit="1" customWidth="1"/>
    <col min="260" max="260" width="5.5546875" style="9" bestFit="1" customWidth="1"/>
    <col min="261" max="261" width="26.77734375" style="9" bestFit="1" customWidth="1"/>
    <col min="262" max="262" width="4" style="9" customWidth="1"/>
    <col min="263" max="263" width="23.5546875" style="9" bestFit="1" customWidth="1"/>
    <col min="264" max="264" width="5.5546875" style="9" bestFit="1" customWidth="1"/>
    <col min="265" max="265" width="25.77734375" style="9" bestFit="1" customWidth="1"/>
    <col min="266" max="266" width="5.5546875" style="9" bestFit="1" customWidth="1"/>
    <col min="267" max="267" width="23.77734375" style="9" bestFit="1" customWidth="1"/>
    <col min="268" max="268" width="4" style="9" customWidth="1"/>
    <col min="269" max="269" width="21.5546875" style="9" bestFit="1" customWidth="1"/>
    <col min="270" max="270" width="5.5546875" style="9" bestFit="1" customWidth="1"/>
    <col min="271" max="271" width="26.77734375" style="9" bestFit="1" customWidth="1"/>
    <col min="272" max="272" width="5.5546875" style="9" bestFit="1" customWidth="1"/>
    <col min="273" max="273" width="16.44140625" style="9" bestFit="1" customWidth="1"/>
    <col min="274" max="274" width="4" style="9" customWidth="1"/>
    <col min="275" max="275" width="23.5546875" style="9" bestFit="1" customWidth="1"/>
    <col min="276" max="276" width="5.5546875" style="9" bestFit="1" customWidth="1"/>
    <col min="277" max="277" width="19.44140625" style="9" bestFit="1" customWidth="1"/>
    <col min="278" max="278" width="4" style="9" customWidth="1"/>
    <col min="279" max="279" width="20.5546875" style="9" bestFit="1" customWidth="1"/>
    <col min="280" max="280" width="4" style="9" customWidth="1"/>
    <col min="281" max="281" width="25.77734375" style="9" bestFit="1" customWidth="1"/>
    <col min="282" max="282" width="4" style="9" customWidth="1"/>
    <col min="283" max="283" width="23.44140625" style="9" bestFit="1" customWidth="1"/>
    <col min="284" max="284" width="4" style="9" bestFit="1" customWidth="1"/>
    <col min="285" max="285" width="18.77734375" style="9" bestFit="1" customWidth="1"/>
    <col min="286" max="286" width="4" style="9" bestFit="1" customWidth="1"/>
    <col min="287" max="287" width="18.21875" style="9" bestFit="1" customWidth="1"/>
    <col min="288" max="288" width="5.5546875" style="9" bestFit="1" customWidth="1"/>
    <col min="289" max="289" width="22.21875" style="9" bestFit="1" customWidth="1"/>
    <col min="290" max="290" width="4" style="9" bestFit="1" customWidth="1"/>
    <col min="291" max="291" width="20.21875" style="9" bestFit="1" customWidth="1"/>
    <col min="292" max="292" width="4" style="9" bestFit="1" customWidth="1"/>
    <col min="293" max="293" width="25.77734375" style="9" bestFit="1" customWidth="1"/>
    <col min="294" max="294" width="4" style="9" bestFit="1" customWidth="1"/>
    <col min="295" max="295" width="21.5546875" style="9" bestFit="1" customWidth="1"/>
    <col min="296" max="296" width="4" style="9" bestFit="1" customWidth="1"/>
    <col min="297" max="297" width="15.77734375" style="9" bestFit="1" customWidth="1"/>
    <col min="298" max="298" width="4" style="9" bestFit="1" customWidth="1"/>
    <col min="299" max="299" width="24.77734375" style="9" bestFit="1" customWidth="1"/>
    <col min="300" max="300" width="4" style="9" bestFit="1" customWidth="1"/>
    <col min="301" max="301" width="25.77734375" style="9" bestFit="1" customWidth="1"/>
    <col min="302" max="302" width="4" style="9" bestFit="1" customWidth="1"/>
    <col min="303" max="303" width="23.44140625" style="9" bestFit="1" customWidth="1"/>
    <col min="304" max="304" width="4" style="9" bestFit="1" customWidth="1"/>
    <col min="305" max="305" width="26" style="9" bestFit="1" customWidth="1"/>
    <col min="306" max="306" width="4" style="9" bestFit="1" customWidth="1"/>
    <col min="307" max="307" width="21.5546875" style="9" bestFit="1" customWidth="1"/>
    <col min="308" max="308" width="4" style="9" bestFit="1" customWidth="1"/>
    <col min="309" max="309" width="26" style="9" bestFit="1" customWidth="1"/>
    <col min="310" max="310" width="4" style="9" bestFit="1" customWidth="1"/>
    <col min="311" max="311" width="23.77734375" style="9" bestFit="1" customWidth="1"/>
    <col min="312" max="312" width="4" style="9" bestFit="1" customWidth="1"/>
    <col min="313" max="313" width="22.21875" style="9" bestFit="1" customWidth="1"/>
    <col min="314" max="314" width="4" style="9" bestFit="1" customWidth="1"/>
    <col min="315" max="315" width="25.77734375" style="9" bestFit="1" customWidth="1"/>
    <col min="316" max="316" width="4" style="9" bestFit="1" customWidth="1"/>
    <col min="317" max="317" width="26" style="9" bestFit="1" customWidth="1"/>
    <col min="318" max="318" width="5.5546875" style="9" bestFit="1" customWidth="1"/>
    <col min="319" max="319" width="17.77734375" style="9" bestFit="1" customWidth="1"/>
    <col min="320" max="320" width="5.5546875" style="9" bestFit="1" customWidth="1"/>
    <col min="321" max="321" width="23" style="9" bestFit="1" customWidth="1"/>
    <col min="322" max="322" width="5.5546875" style="9" bestFit="1" customWidth="1"/>
    <col min="323" max="323" width="25.77734375" style="9" bestFit="1" customWidth="1"/>
    <col min="324" max="324" width="4" style="9" bestFit="1" customWidth="1"/>
    <col min="325" max="325" width="17" style="9" bestFit="1" customWidth="1"/>
    <col min="326" max="326" width="4" style="9" bestFit="1" customWidth="1"/>
    <col min="327" max="327" width="18.77734375" style="9" bestFit="1" customWidth="1"/>
    <col min="328" max="328" width="5.5546875" style="9" bestFit="1" customWidth="1"/>
    <col min="329" max="329" width="25.77734375" style="9" bestFit="1" customWidth="1"/>
    <col min="330" max="330" width="5.5546875" style="9" bestFit="1" customWidth="1"/>
    <col min="331" max="331" width="20.5546875" style="9" bestFit="1" customWidth="1"/>
    <col min="332" max="332" width="5.5546875" style="9" bestFit="1" customWidth="1"/>
    <col min="333" max="333" width="19.44140625" style="9" bestFit="1" customWidth="1"/>
    <col min="334" max="334" width="5.5546875" style="9" bestFit="1" customWidth="1"/>
    <col min="335" max="335" width="23.44140625" style="9" bestFit="1" customWidth="1"/>
    <col min="336" max="336" width="4" style="9" bestFit="1" customWidth="1"/>
    <col min="337" max="337" width="19.44140625" style="9" bestFit="1" customWidth="1"/>
    <col min="338" max="338" width="4" style="9" bestFit="1" customWidth="1"/>
    <col min="339" max="339" width="25.77734375" style="9" bestFit="1" customWidth="1"/>
    <col min="340" max="340" width="5.5546875" style="9" bestFit="1" customWidth="1"/>
    <col min="341" max="341" width="23.77734375" style="9" bestFit="1" customWidth="1"/>
    <col min="342" max="342" width="5.5546875" style="9" bestFit="1" customWidth="1"/>
    <col min="343" max="343" width="18" style="9" bestFit="1" customWidth="1"/>
    <col min="344" max="344" width="4" style="9" bestFit="1" customWidth="1"/>
    <col min="345" max="345" width="25.77734375" style="9" bestFit="1" customWidth="1"/>
    <col min="346" max="346" width="5.5546875" style="9" bestFit="1" customWidth="1"/>
    <col min="347" max="347" width="26" style="9" bestFit="1" customWidth="1"/>
    <col min="348" max="348" width="4" style="9" bestFit="1" customWidth="1"/>
    <col min="349" max="349" width="22.21875" style="9" bestFit="1" customWidth="1"/>
    <col min="350" max="350" width="4" style="9" bestFit="1" customWidth="1"/>
    <col min="351" max="351" width="26" style="9" bestFit="1" customWidth="1"/>
    <col min="352" max="352" width="4" style="9" bestFit="1" customWidth="1"/>
    <col min="353" max="353" width="25.77734375" style="9" bestFit="1" customWidth="1"/>
    <col min="354" max="354" width="4" style="9" bestFit="1" customWidth="1"/>
    <col min="355" max="355" width="23.44140625" style="9" bestFit="1" customWidth="1"/>
    <col min="356" max="356" width="4" style="9" bestFit="1" customWidth="1"/>
    <col min="357" max="357" width="21.5546875" style="9" bestFit="1" customWidth="1"/>
    <col min="358" max="358" width="4" style="9" bestFit="1" customWidth="1"/>
    <col min="359" max="359" width="25.77734375" style="9" bestFit="1" customWidth="1"/>
    <col min="360" max="360" width="5.5546875" style="9" bestFit="1" customWidth="1"/>
    <col min="361" max="361" width="17.21875" style="9" bestFit="1" customWidth="1"/>
    <col min="362" max="362" width="5.5546875" style="9" bestFit="1" customWidth="1"/>
    <col min="363" max="363" width="20.44140625" style="9" bestFit="1" customWidth="1"/>
    <col min="364" max="364" width="4" style="9" bestFit="1" customWidth="1"/>
    <col min="365" max="365" width="23.77734375" style="9" bestFit="1" customWidth="1"/>
    <col min="366" max="366" width="5.5546875" style="9" bestFit="1" customWidth="1"/>
    <col min="367" max="367" width="23.77734375" style="9" bestFit="1" customWidth="1"/>
    <col min="368" max="368" width="4" style="9" bestFit="1" customWidth="1"/>
    <col min="369" max="369" width="25.77734375" style="9" bestFit="1" customWidth="1"/>
    <col min="370" max="370" width="4" style="9" bestFit="1" customWidth="1"/>
    <col min="371" max="371" width="15.44140625" style="9" bestFit="1" customWidth="1"/>
    <col min="372" max="372" width="5.5546875" style="9" bestFit="1" customWidth="1"/>
    <col min="373" max="373" width="25.77734375" style="9" bestFit="1" customWidth="1"/>
    <col min="374" max="374" width="4" style="9" bestFit="1" customWidth="1"/>
    <col min="375" max="375" width="24.77734375" style="9" bestFit="1" customWidth="1"/>
    <col min="376" max="376" width="4" style="9" bestFit="1" customWidth="1"/>
    <col min="377" max="377" width="19.21875" style="9" bestFit="1" customWidth="1"/>
    <col min="378" max="378" width="5.5546875" style="9" bestFit="1" customWidth="1"/>
    <col min="379" max="379" width="26.77734375" style="9" bestFit="1" customWidth="1"/>
    <col min="380" max="380" width="4" style="9" bestFit="1" customWidth="1"/>
    <col min="381" max="381" width="21.5546875" style="9" bestFit="1" customWidth="1"/>
    <col min="382" max="382" width="5.5546875" style="9" bestFit="1" customWidth="1"/>
    <col min="383" max="383" width="25.77734375" style="9" bestFit="1" customWidth="1"/>
    <col min="384" max="384" width="4" style="9" bestFit="1" customWidth="1"/>
    <col min="385" max="385" width="23.5546875" style="9" bestFit="1" customWidth="1"/>
    <col min="386" max="386" width="4" style="9" bestFit="1" customWidth="1"/>
    <col min="387" max="387" width="18.21875" style="9" bestFit="1" customWidth="1"/>
    <col min="388" max="388" width="4" style="9" bestFit="1" customWidth="1"/>
    <col min="389" max="389" width="24.77734375" style="9" bestFit="1" customWidth="1"/>
    <col min="390" max="390" width="4" style="9" bestFit="1" customWidth="1"/>
    <col min="391" max="391" width="23.44140625" style="9" bestFit="1" customWidth="1"/>
    <col min="392" max="392" width="4" style="9" bestFit="1" customWidth="1"/>
    <col min="393" max="393" width="26" style="9" bestFit="1" customWidth="1"/>
    <col min="394" max="394" width="5.5546875" style="9" bestFit="1" customWidth="1"/>
    <col min="395" max="395" width="23.77734375" style="9" bestFit="1" customWidth="1"/>
    <col min="396" max="396" width="5.5546875" style="9" bestFit="1" customWidth="1"/>
    <col min="397" max="397" width="23.5546875" style="9" bestFit="1" customWidth="1"/>
    <col min="398" max="398" width="4" style="9" bestFit="1" customWidth="1"/>
    <col min="399" max="399" width="21.77734375" style="9" bestFit="1" customWidth="1"/>
    <col min="400" max="400" width="4" style="9" bestFit="1" customWidth="1"/>
    <col min="401" max="401" width="20.21875" style="9" bestFit="1" customWidth="1"/>
    <col min="402" max="402" width="5.5546875" style="9" bestFit="1" customWidth="1"/>
    <col min="403" max="403" width="17.77734375" style="9" bestFit="1" customWidth="1"/>
    <col min="404" max="404" width="4" style="9" bestFit="1" customWidth="1"/>
    <col min="405" max="405" width="18.77734375" style="9" bestFit="1" customWidth="1"/>
    <col min="406" max="406" width="5.5546875" style="9" bestFit="1" customWidth="1"/>
    <col min="407" max="407" width="22.21875" style="9" bestFit="1" customWidth="1"/>
    <col min="408" max="408" width="4" style="9" bestFit="1" customWidth="1"/>
    <col min="409" max="409" width="25.77734375" style="9" bestFit="1" customWidth="1"/>
    <col min="410" max="410" width="4" style="9" bestFit="1" customWidth="1"/>
    <col min="411" max="411" width="16.44140625" style="9" bestFit="1" customWidth="1"/>
    <col min="412" max="412" width="4" style="9" bestFit="1" customWidth="1"/>
    <col min="413" max="413" width="26" style="9" bestFit="1" customWidth="1"/>
    <col min="414" max="414" width="4" style="9" bestFit="1" customWidth="1"/>
    <col min="415" max="415" width="26" style="9" bestFit="1" customWidth="1"/>
    <col min="416" max="416" width="4" style="9" bestFit="1" customWidth="1"/>
    <col min="417" max="417" width="18" style="9" bestFit="1" customWidth="1"/>
    <col min="418" max="418" width="4" style="9" bestFit="1" customWidth="1"/>
    <col min="419" max="419" width="25.77734375" style="9" bestFit="1" customWidth="1"/>
    <col min="420" max="420" width="5.5546875" style="9" bestFit="1" customWidth="1"/>
    <col min="421" max="421" width="26" style="9" bestFit="1" customWidth="1"/>
    <col min="422" max="422" width="4" style="9" bestFit="1" customWidth="1"/>
    <col min="423" max="423" width="26" style="9" bestFit="1" customWidth="1"/>
    <col min="424" max="424" width="5.5546875" style="9" bestFit="1" customWidth="1"/>
    <col min="425" max="425" width="24.77734375" style="9" bestFit="1" customWidth="1"/>
    <col min="426" max="426" width="4" style="9" bestFit="1" customWidth="1"/>
    <col min="427" max="427" width="23.5546875" style="9" bestFit="1" customWidth="1"/>
    <col min="428" max="428" width="4" style="9" bestFit="1" customWidth="1"/>
    <col min="429" max="429" width="26.77734375" style="9" bestFit="1" customWidth="1"/>
    <col min="430" max="430" width="5.5546875" style="9" bestFit="1" customWidth="1"/>
    <col min="431" max="431" width="23.77734375" style="9" bestFit="1" customWidth="1"/>
    <col min="432" max="432" width="4" style="9" bestFit="1" customWidth="1"/>
    <col min="433" max="433" width="14.77734375" style="9" bestFit="1" customWidth="1"/>
    <col min="434" max="434" width="5.5546875" style="9" bestFit="1" customWidth="1"/>
    <col min="435" max="435" width="26" style="9" bestFit="1" customWidth="1"/>
    <col min="436" max="436" width="5.5546875" style="9" bestFit="1" customWidth="1"/>
    <col min="437" max="437" width="25.77734375" style="9" bestFit="1" customWidth="1"/>
    <col min="438" max="438" width="5.5546875" style="9" bestFit="1" customWidth="1"/>
    <col min="439" max="439" width="21.77734375" style="9" bestFit="1" customWidth="1"/>
    <col min="440" max="440" width="4" style="9" bestFit="1" customWidth="1"/>
    <col min="441" max="441" width="23.77734375" style="9" bestFit="1" customWidth="1"/>
    <col min="442" max="442" width="4" style="9" bestFit="1" customWidth="1"/>
    <col min="443" max="443" width="26" style="9" bestFit="1" customWidth="1"/>
    <col min="444" max="444" width="5.5546875" style="9" bestFit="1" customWidth="1"/>
    <col min="445" max="445" width="22.21875" style="9" bestFit="1" customWidth="1"/>
    <col min="446" max="446" width="4" style="9" bestFit="1" customWidth="1"/>
    <col min="447" max="447" width="26" style="9" bestFit="1" customWidth="1"/>
    <col min="448" max="448" width="5.5546875" style="9" bestFit="1" customWidth="1"/>
    <col min="449" max="449" width="23.77734375" style="9" bestFit="1" customWidth="1"/>
    <col min="450" max="450" width="5.5546875" style="9" bestFit="1" customWidth="1"/>
    <col min="451" max="451" width="16.44140625" style="9" bestFit="1" customWidth="1"/>
    <col min="452" max="452" width="4" style="9" bestFit="1" customWidth="1"/>
    <col min="453" max="453" width="22.21875" style="9" bestFit="1" customWidth="1"/>
    <col min="454" max="454" width="4" style="9" bestFit="1" customWidth="1"/>
    <col min="455" max="455" width="23.5546875" style="9" bestFit="1" customWidth="1"/>
    <col min="456" max="456" width="4" style="9" bestFit="1" customWidth="1"/>
    <col min="457" max="457" width="23.5546875" style="9" bestFit="1" customWidth="1"/>
    <col min="458" max="458" width="4" style="9" bestFit="1" customWidth="1"/>
    <col min="459" max="459" width="23.44140625" style="9" bestFit="1" customWidth="1"/>
    <col min="460" max="460" width="5.5546875" style="9" bestFit="1" customWidth="1"/>
    <col min="461" max="461" width="22.21875" style="9" bestFit="1" customWidth="1"/>
    <col min="462" max="462" width="4" style="9" bestFit="1" customWidth="1"/>
    <col min="463" max="463" width="26" style="9" bestFit="1" customWidth="1"/>
    <col min="464" max="464" width="5.5546875" style="9" bestFit="1" customWidth="1"/>
    <col min="465" max="465" width="24.77734375" style="9" bestFit="1" customWidth="1"/>
    <col min="466" max="466" width="5.5546875" style="9" bestFit="1" customWidth="1"/>
    <col min="467" max="467" width="15.44140625" style="9" bestFit="1" customWidth="1"/>
    <col min="468" max="468" width="5.5546875" style="9" bestFit="1" customWidth="1"/>
    <col min="469" max="469" width="17.77734375" style="9" bestFit="1" customWidth="1"/>
    <col min="470" max="470" width="4" style="9" bestFit="1" customWidth="1"/>
    <col min="471" max="471" width="17" style="9" bestFit="1" customWidth="1"/>
    <col min="472" max="472" width="4" style="9" bestFit="1" customWidth="1"/>
    <col min="473" max="473" width="21.77734375" style="9" bestFit="1" customWidth="1"/>
    <col min="474" max="474" width="4" style="9" bestFit="1" customWidth="1"/>
    <col min="475" max="475" width="22.21875" style="9" bestFit="1" customWidth="1"/>
    <col min="476" max="476" width="4" style="9" bestFit="1" customWidth="1"/>
    <col min="477" max="477" width="23.44140625" style="9" bestFit="1" customWidth="1"/>
    <col min="478" max="478" width="4" style="9" bestFit="1" customWidth="1"/>
    <col min="479" max="479" width="23.77734375" style="9" bestFit="1" customWidth="1"/>
    <col min="480" max="480" width="4" style="9" bestFit="1" customWidth="1"/>
    <col min="481" max="481" width="18.77734375" style="9" bestFit="1" customWidth="1"/>
    <col min="482" max="482" width="4" style="9" bestFit="1" customWidth="1"/>
    <col min="483" max="483" width="21.5546875" style="9" bestFit="1" customWidth="1"/>
    <col min="484" max="484" width="5.5546875" style="9" bestFit="1" customWidth="1"/>
    <col min="485" max="485" width="21.5546875" style="9" bestFit="1" customWidth="1"/>
    <col min="486" max="486" width="4" style="9" bestFit="1" customWidth="1"/>
    <col min="487" max="487" width="17.77734375" style="9" bestFit="1" customWidth="1"/>
    <col min="488" max="488" width="5.5546875" style="9" bestFit="1" customWidth="1"/>
    <col min="489" max="489" width="17.44140625" style="9" bestFit="1" customWidth="1"/>
    <col min="490" max="490" width="4" style="9" bestFit="1" customWidth="1"/>
    <col min="491" max="491" width="17.44140625" style="9" bestFit="1" customWidth="1"/>
    <col min="492" max="492" width="4" style="9" bestFit="1" customWidth="1"/>
    <col min="493" max="493" width="17.77734375" style="9" bestFit="1" customWidth="1"/>
    <col min="494" max="494" width="4" style="9" bestFit="1" customWidth="1"/>
    <col min="495" max="495" width="17.77734375" style="9" bestFit="1" customWidth="1"/>
    <col min="496" max="496" width="4" style="9" bestFit="1" customWidth="1"/>
    <col min="497" max="497" width="26" style="9" bestFit="1" customWidth="1"/>
    <col min="498" max="498" width="4" style="9" bestFit="1" customWidth="1"/>
    <col min="499" max="499" width="20.77734375" style="9" bestFit="1" customWidth="1"/>
    <col min="500" max="500" width="4" style="9" bestFit="1" customWidth="1"/>
    <col min="501" max="501" width="20.5546875" style="9" bestFit="1" customWidth="1"/>
    <col min="502" max="502" width="5.5546875" style="9" bestFit="1" customWidth="1"/>
    <col min="503" max="503" width="17.77734375" style="9" bestFit="1" customWidth="1"/>
    <col min="504" max="504" width="4" style="9" bestFit="1" customWidth="1"/>
    <col min="505" max="16384" width="9.21875" style="9"/>
  </cols>
  <sheetData>
    <row r="1" spans="1:504" x14ac:dyDescent="0.25">
      <c r="A1" s="10" t="s">
        <v>242</v>
      </c>
      <c r="D1" s="11">
        <v>1</v>
      </c>
      <c r="E1" s="11" t="s">
        <v>1</v>
      </c>
      <c r="F1" s="11"/>
      <c r="G1" s="11">
        <v>2</v>
      </c>
      <c r="H1" s="11"/>
      <c r="I1" s="11">
        <v>3</v>
      </c>
      <c r="J1" s="11"/>
      <c r="K1" s="11">
        <v>4</v>
      </c>
      <c r="L1" s="11"/>
      <c r="M1" s="11">
        <v>5</v>
      </c>
      <c r="N1" s="11"/>
      <c r="O1" s="11">
        <v>6</v>
      </c>
      <c r="P1" s="11"/>
      <c r="Q1" s="11">
        <v>7</v>
      </c>
      <c r="R1" s="11"/>
      <c r="S1" s="11">
        <v>8</v>
      </c>
      <c r="T1" s="11"/>
      <c r="U1" s="11">
        <v>9</v>
      </c>
      <c r="V1" s="11"/>
      <c r="W1" s="11">
        <v>10</v>
      </c>
    </row>
    <row r="2" spans="1:504" x14ac:dyDescent="0.25">
      <c r="A2" s="10"/>
    </row>
    <row r="4" spans="1:504" x14ac:dyDescent="0.25">
      <c r="A4" s="9" t="e">
        <f ca="1">INDEX(#REF!,RANDBETWEEN(1,176))</f>
        <v>#REF!</v>
      </c>
      <c r="B4" s="9" t="e">
        <f ca="1">VLOOKUP($A4,#REF!,4,0)</f>
        <v>#REF!</v>
      </c>
      <c r="D4" s="14" t="e">
        <f ca="1">$A$4</f>
        <v>#REF!</v>
      </c>
      <c r="E4" s="9" t="e">
        <f ca="1">VLOOKUP($D4,#REF!,4,0)</f>
        <v>#REF!</v>
      </c>
      <c r="G4" s="9" t="s">
        <v>86</v>
      </c>
      <c r="H4" s="9">
        <v>0</v>
      </c>
      <c r="I4" s="9" t="s">
        <v>139</v>
      </c>
      <c r="J4" s="9">
        <v>0</v>
      </c>
      <c r="K4" s="9" t="s">
        <v>182</v>
      </c>
      <c r="L4" s="9">
        <v>0</v>
      </c>
      <c r="M4" s="9" t="s">
        <v>195</v>
      </c>
      <c r="N4" s="9">
        <v>0</v>
      </c>
      <c r="O4" s="9" t="s">
        <v>127</v>
      </c>
      <c r="P4" s="9">
        <v>0</v>
      </c>
      <c r="Q4" s="9" t="s">
        <v>71</v>
      </c>
      <c r="R4" s="9">
        <v>0</v>
      </c>
      <c r="S4" s="9" t="s">
        <v>100</v>
      </c>
      <c r="T4" s="9">
        <v>0</v>
      </c>
      <c r="U4" s="9" t="s">
        <v>87</v>
      </c>
      <c r="V4" s="9">
        <v>0</v>
      </c>
      <c r="W4" s="9" t="s">
        <v>142</v>
      </c>
      <c r="X4" s="9">
        <v>0</v>
      </c>
      <c r="Y4" s="9" t="s">
        <v>192</v>
      </c>
      <c r="Z4" s="9">
        <v>0</v>
      </c>
      <c r="AA4" s="9" t="s">
        <v>194</v>
      </c>
      <c r="AB4" s="9">
        <v>0</v>
      </c>
      <c r="AC4" s="9" t="s">
        <v>53</v>
      </c>
      <c r="AD4" s="9">
        <v>0</v>
      </c>
      <c r="AE4" s="9" t="s">
        <v>187</v>
      </c>
      <c r="AF4" s="9">
        <v>0</v>
      </c>
      <c r="AG4" s="9" t="s">
        <v>180</v>
      </c>
      <c r="AH4" s="9">
        <v>0</v>
      </c>
      <c r="AI4" s="9" t="s">
        <v>163</v>
      </c>
      <c r="AJ4" s="9">
        <v>0</v>
      </c>
      <c r="AK4" s="9" t="s">
        <v>88</v>
      </c>
      <c r="AL4" s="9">
        <v>0</v>
      </c>
      <c r="AM4" s="9" t="s">
        <v>32</v>
      </c>
      <c r="AN4" s="9">
        <v>0</v>
      </c>
      <c r="AO4" s="9" t="s">
        <v>147</v>
      </c>
      <c r="AP4" s="9">
        <v>0</v>
      </c>
      <c r="AQ4" s="9" t="s">
        <v>126</v>
      </c>
      <c r="AR4" s="9">
        <v>512.5</v>
      </c>
      <c r="AS4" s="9" t="s">
        <v>50</v>
      </c>
      <c r="AT4" s="9">
        <v>837.38932865935271</v>
      </c>
      <c r="AU4" s="9" t="s">
        <v>146</v>
      </c>
      <c r="AV4" s="9">
        <v>0</v>
      </c>
      <c r="AW4" s="9" t="s">
        <v>85</v>
      </c>
      <c r="AX4" s="9">
        <v>0</v>
      </c>
      <c r="AY4" s="9" t="s">
        <v>49</v>
      </c>
      <c r="AZ4" s="9">
        <v>0</v>
      </c>
      <c r="BA4" s="9" t="s">
        <v>198</v>
      </c>
      <c r="BB4" s="9">
        <v>0</v>
      </c>
      <c r="BC4" s="9" t="s">
        <v>89</v>
      </c>
      <c r="BD4" s="9">
        <v>0</v>
      </c>
      <c r="BE4" s="9" t="s">
        <v>81</v>
      </c>
      <c r="BF4" s="9">
        <v>0</v>
      </c>
      <c r="BG4" s="9" t="s">
        <v>23</v>
      </c>
      <c r="BH4" s="9">
        <v>680.40000000000009</v>
      </c>
      <c r="BI4" s="9" t="s">
        <v>189</v>
      </c>
      <c r="BJ4" s="9">
        <v>0</v>
      </c>
      <c r="BK4" s="9" t="s">
        <v>158</v>
      </c>
      <c r="BL4" s="9">
        <v>0</v>
      </c>
      <c r="BM4" s="9" t="s">
        <v>151</v>
      </c>
      <c r="BN4" s="9">
        <v>232.26615547082142</v>
      </c>
      <c r="BO4" s="9" t="s">
        <v>100</v>
      </c>
      <c r="BP4" s="9">
        <v>0</v>
      </c>
      <c r="BQ4" s="9" t="s">
        <v>191</v>
      </c>
      <c r="BR4" s="9">
        <v>0</v>
      </c>
      <c r="BS4" s="9" t="s">
        <v>192</v>
      </c>
      <c r="BT4" s="9">
        <v>0</v>
      </c>
      <c r="BU4" s="9" t="s">
        <v>78</v>
      </c>
      <c r="BV4" s="9">
        <v>0</v>
      </c>
      <c r="BW4" s="9" t="s">
        <v>108</v>
      </c>
      <c r="BX4" s="9">
        <v>0</v>
      </c>
      <c r="BY4" s="9" t="s">
        <v>163</v>
      </c>
      <c r="BZ4" s="9">
        <v>0</v>
      </c>
      <c r="CA4" s="9" t="s">
        <v>34</v>
      </c>
      <c r="CB4" s="9">
        <v>0</v>
      </c>
      <c r="CC4" s="9" t="s">
        <v>139</v>
      </c>
      <c r="CD4" s="9">
        <v>0</v>
      </c>
      <c r="CE4" s="9" t="s">
        <v>189</v>
      </c>
      <c r="CF4" s="9">
        <v>0</v>
      </c>
      <c r="CG4" s="9" t="s">
        <v>119</v>
      </c>
      <c r="CH4" s="9">
        <v>547.79999999999995</v>
      </c>
      <c r="CI4" s="9" t="s">
        <v>33</v>
      </c>
      <c r="CJ4" s="9">
        <v>20.100000000000001</v>
      </c>
      <c r="CK4" s="9" t="s">
        <v>128</v>
      </c>
      <c r="CL4" s="9">
        <v>322.5</v>
      </c>
      <c r="CM4" s="9" t="s">
        <v>164</v>
      </c>
      <c r="CN4" s="9">
        <v>0</v>
      </c>
      <c r="CO4" s="9" t="s">
        <v>74</v>
      </c>
      <c r="CP4" s="9">
        <v>0</v>
      </c>
      <c r="CQ4" s="9" t="s">
        <v>176</v>
      </c>
      <c r="CR4" s="9">
        <v>0</v>
      </c>
      <c r="CS4" s="9" t="s">
        <v>82</v>
      </c>
      <c r="CT4" s="9">
        <v>0</v>
      </c>
      <c r="CU4" s="9" t="s">
        <v>174</v>
      </c>
      <c r="CV4" s="9">
        <v>0</v>
      </c>
      <c r="CW4" s="9" t="s">
        <v>15</v>
      </c>
      <c r="CX4" s="9">
        <v>0</v>
      </c>
      <c r="CY4" s="9" t="s">
        <v>131</v>
      </c>
      <c r="CZ4" s="9">
        <v>0</v>
      </c>
      <c r="DA4" s="9" t="s">
        <v>84</v>
      </c>
      <c r="DB4" s="9">
        <v>0</v>
      </c>
      <c r="DC4" s="9" t="s">
        <v>75</v>
      </c>
      <c r="DD4" s="9">
        <v>0</v>
      </c>
      <c r="DE4" s="9" t="s">
        <v>65</v>
      </c>
      <c r="DF4" s="9">
        <v>0</v>
      </c>
      <c r="DG4" s="9" t="s">
        <v>172</v>
      </c>
      <c r="DH4" s="9">
        <v>0</v>
      </c>
      <c r="DI4" s="9" t="s">
        <v>179</v>
      </c>
      <c r="DJ4" s="9">
        <v>0</v>
      </c>
      <c r="DK4" s="9" t="s">
        <v>24</v>
      </c>
      <c r="DL4" s="9">
        <v>0</v>
      </c>
      <c r="DM4" s="9" t="s">
        <v>39</v>
      </c>
      <c r="DN4" s="9">
        <v>82</v>
      </c>
      <c r="DO4" s="9" t="s">
        <v>174</v>
      </c>
      <c r="DP4" s="9">
        <v>0</v>
      </c>
      <c r="DQ4" s="9" t="s">
        <v>183</v>
      </c>
      <c r="DR4" s="9">
        <v>0</v>
      </c>
      <c r="DS4" s="9" t="s">
        <v>21</v>
      </c>
      <c r="DT4" s="9">
        <v>0</v>
      </c>
      <c r="DU4" s="9" t="s">
        <v>189</v>
      </c>
      <c r="DV4" s="9">
        <v>0</v>
      </c>
      <c r="DW4" s="9" t="s">
        <v>18</v>
      </c>
      <c r="DX4" s="9">
        <v>0</v>
      </c>
      <c r="DY4" s="9" t="s">
        <v>37</v>
      </c>
      <c r="DZ4" s="9">
        <v>31.6</v>
      </c>
      <c r="EA4" s="9" t="s">
        <v>125</v>
      </c>
      <c r="EB4" s="9">
        <v>289.60000000000002</v>
      </c>
      <c r="EC4" s="9" t="s">
        <v>87</v>
      </c>
      <c r="ED4" s="9">
        <v>0</v>
      </c>
      <c r="EE4" s="9" t="s">
        <v>81</v>
      </c>
      <c r="EF4" s="9">
        <v>0</v>
      </c>
      <c r="EG4" s="9" t="s">
        <v>189</v>
      </c>
      <c r="EH4" s="9">
        <v>0</v>
      </c>
      <c r="EI4" s="9" t="s">
        <v>124</v>
      </c>
      <c r="EJ4" s="9">
        <v>0</v>
      </c>
      <c r="EK4" s="9" t="s">
        <v>126</v>
      </c>
      <c r="EL4" s="9">
        <v>512.5</v>
      </c>
      <c r="EM4" s="9" t="s">
        <v>186</v>
      </c>
      <c r="EN4" s="9">
        <v>0</v>
      </c>
      <c r="EO4" s="9" t="s">
        <v>119</v>
      </c>
      <c r="EP4" s="9">
        <v>547.79999999999995</v>
      </c>
      <c r="EQ4" s="9" t="s">
        <v>135</v>
      </c>
      <c r="ER4" s="9">
        <v>0</v>
      </c>
      <c r="ES4" s="9" t="s">
        <v>188</v>
      </c>
      <c r="ET4" s="9">
        <v>1751.0631565987637</v>
      </c>
      <c r="EU4" s="9" t="s">
        <v>82</v>
      </c>
      <c r="EV4" s="9">
        <v>0</v>
      </c>
      <c r="EW4" s="9" t="s">
        <v>49</v>
      </c>
      <c r="EX4" s="9">
        <v>0</v>
      </c>
      <c r="EY4" s="9" t="s">
        <v>15</v>
      </c>
      <c r="EZ4" s="9">
        <v>0</v>
      </c>
      <c r="FA4" s="9" t="s">
        <v>91</v>
      </c>
      <c r="FB4" s="9">
        <v>0</v>
      </c>
      <c r="FC4" s="9" t="s">
        <v>64</v>
      </c>
      <c r="FD4" s="9">
        <v>0</v>
      </c>
      <c r="FE4" s="9" t="s">
        <v>25</v>
      </c>
      <c r="FF4" s="9">
        <v>0</v>
      </c>
      <c r="FG4" s="9" t="s">
        <v>101</v>
      </c>
      <c r="FH4" s="9">
        <v>625</v>
      </c>
      <c r="FI4" s="9" t="s">
        <v>145</v>
      </c>
      <c r="FJ4" s="9">
        <v>509.05014022132127</v>
      </c>
      <c r="FK4" s="9" t="s">
        <v>50</v>
      </c>
      <c r="FL4" s="9">
        <v>837.38932865935271</v>
      </c>
      <c r="FM4" s="9" t="s">
        <v>161</v>
      </c>
      <c r="FN4" s="9">
        <v>0</v>
      </c>
      <c r="FO4" s="9" t="s">
        <v>47</v>
      </c>
      <c r="FP4" s="9">
        <v>389.96562161946986</v>
      </c>
      <c r="FQ4" s="9" t="s">
        <v>77</v>
      </c>
      <c r="FR4" s="9">
        <v>0</v>
      </c>
      <c r="FS4" s="9" t="s">
        <v>95</v>
      </c>
      <c r="FT4" s="9">
        <v>0</v>
      </c>
      <c r="FU4" s="9" t="s">
        <v>189</v>
      </c>
      <c r="FV4" s="9">
        <v>0</v>
      </c>
      <c r="FW4" s="9" t="s">
        <v>37</v>
      </c>
      <c r="FX4" s="9">
        <v>31.6</v>
      </c>
      <c r="FY4" s="9" t="s">
        <v>66</v>
      </c>
      <c r="FZ4" s="9">
        <v>0</v>
      </c>
      <c r="GA4" s="9" t="s">
        <v>19</v>
      </c>
      <c r="GB4" s="9">
        <v>608.40000000000009</v>
      </c>
      <c r="GC4" s="9" t="s">
        <v>163</v>
      </c>
      <c r="GD4" s="9">
        <v>0</v>
      </c>
      <c r="GE4" s="9" t="s">
        <v>101</v>
      </c>
      <c r="GF4" s="9">
        <v>625</v>
      </c>
      <c r="GG4" s="9" t="s">
        <v>62</v>
      </c>
      <c r="GH4" s="9">
        <v>0</v>
      </c>
      <c r="GI4" s="9" t="s">
        <v>195</v>
      </c>
      <c r="GJ4" s="9">
        <v>0</v>
      </c>
      <c r="GK4" s="9" t="s">
        <v>75</v>
      </c>
      <c r="GL4" s="9">
        <v>0</v>
      </c>
      <c r="GM4" s="9" t="s">
        <v>181</v>
      </c>
      <c r="GN4" s="9">
        <v>0</v>
      </c>
      <c r="GO4" s="9" t="s">
        <v>185</v>
      </c>
      <c r="GP4" s="9">
        <v>0</v>
      </c>
      <c r="GQ4" s="9" t="s">
        <v>61</v>
      </c>
      <c r="GR4" s="9">
        <v>375.9131934216299</v>
      </c>
      <c r="GS4" s="9" t="s">
        <v>29</v>
      </c>
      <c r="GT4" s="9">
        <v>0</v>
      </c>
      <c r="GU4" s="9" t="s">
        <v>144</v>
      </c>
      <c r="GV4" s="9">
        <v>0</v>
      </c>
      <c r="GW4" s="9" t="s">
        <v>166</v>
      </c>
      <c r="GX4" s="9">
        <v>0</v>
      </c>
      <c r="GY4" s="9" t="s">
        <v>48</v>
      </c>
      <c r="GZ4" s="9">
        <v>0</v>
      </c>
      <c r="HA4" s="9" t="s">
        <v>161</v>
      </c>
      <c r="HB4" s="9">
        <v>0</v>
      </c>
      <c r="HC4" s="9" t="s">
        <v>119</v>
      </c>
      <c r="HD4" s="9">
        <v>547.79999999999995</v>
      </c>
      <c r="HE4" s="9" t="s">
        <v>79</v>
      </c>
      <c r="HF4" s="9">
        <v>0</v>
      </c>
      <c r="HG4" s="9" t="s">
        <v>82</v>
      </c>
      <c r="HH4" s="9">
        <v>0</v>
      </c>
      <c r="HI4" s="9" t="s">
        <v>124</v>
      </c>
      <c r="HJ4" s="9">
        <v>0</v>
      </c>
      <c r="HK4" s="9" t="s">
        <v>135</v>
      </c>
      <c r="HL4" s="9">
        <v>0</v>
      </c>
      <c r="HM4" s="9" t="s">
        <v>168</v>
      </c>
      <c r="HN4" s="9">
        <v>0</v>
      </c>
      <c r="HO4" s="9" t="s">
        <v>55</v>
      </c>
      <c r="HP4" s="9">
        <v>0</v>
      </c>
      <c r="HQ4" s="9" t="s">
        <v>170</v>
      </c>
      <c r="HR4" s="9">
        <v>0</v>
      </c>
      <c r="HS4" s="9" t="s">
        <v>31</v>
      </c>
      <c r="HT4" s="9">
        <v>200</v>
      </c>
      <c r="HU4" s="9" t="s">
        <v>79</v>
      </c>
      <c r="HV4" s="9">
        <v>0</v>
      </c>
      <c r="HW4" s="9" t="s">
        <v>89</v>
      </c>
      <c r="HX4" s="9">
        <v>0</v>
      </c>
      <c r="HY4" s="9" t="s">
        <v>153</v>
      </c>
      <c r="HZ4" s="9">
        <v>0</v>
      </c>
      <c r="IA4" s="9" t="s">
        <v>29</v>
      </c>
      <c r="IB4" s="9">
        <v>0</v>
      </c>
      <c r="IC4" s="9" t="s">
        <v>122</v>
      </c>
      <c r="ID4" s="9">
        <v>0</v>
      </c>
      <c r="IE4" s="9" t="s">
        <v>165</v>
      </c>
      <c r="IF4" s="9">
        <v>799.06957920465936</v>
      </c>
      <c r="IG4" s="9" t="s">
        <v>121</v>
      </c>
      <c r="IH4" s="9">
        <v>0</v>
      </c>
      <c r="II4" s="9" t="s">
        <v>126</v>
      </c>
      <c r="IJ4" s="9">
        <v>512.5</v>
      </c>
      <c r="IK4" s="9" t="s">
        <v>196</v>
      </c>
      <c r="IL4" s="9">
        <v>0</v>
      </c>
      <c r="IM4" s="9" t="s">
        <v>192</v>
      </c>
      <c r="IN4" s="9">
        <v>0</v>
      </c>
      <c r="IO4" s="9" t="s">
        <v>26</v>
      </c>
      <c r="IP4" s="9">
        <v>382.5</v>
      </c>
      <c r="IQ4" s="9" t="s">
        <v>80</v>
      </c>
      <c r="IR4" s="9">
        <v>0</v>
      </c>
      <c r="IS4" s="9" t="s">
        <v>150</v>
      </c>
      <c r="IT4" s="9">
        <v>0</v>
      </c>
      <c r="IU4" s="9" t="s">
        <v>92</v>
      </c>
      <c r="IV4" s="9">
        <v>0</v>
      </c>
      <c r="IW4" s="9" t="s">
        <v>139</v>
      </c>
      <c r="IX4" s="9">
        <v>0</v>
      </c>
      <c r="IY4" s="9" t="s">
        <v>16</v>
      </c>
      <c r="IZ4" s="9">
        <v>400.79999999999995</v>
      </c>
      <c r="JA4" s="9" t="s">
        <v>141</v>
      </c>
      <c r="JB4" s="9">
        <v>0</v>
      </c>
      <c r="JC4" s="9" t="s">
        <v>65</v>
      </c>
      <c r="JD4" s="9">
        <v>0</v>
      </c>
      <c r="JE4" s="9" t="s">
        <v>67</v>
      </c>
      <c r="JF4" s="9">
        <v>0</v>
      </c>
      <c r="JG4" s="9" t="s">
        <v>40</v>
      </c>
      <c r="JH4" s="9">
        <v>0</v>
      </c>
      <c r="JI4" s="9" t="s">
        <v>101</v>
      </c>
      <c r="JJ4" s="9">
        <v>625</v>
      </c>
      <c r="JK4" s="9" t="s">
        <v>24</v>
      </c>
      <c r="JL4" s="9">
        <v>0</v>
      </c>
      <c r="JM4" s="9" t="s">
        <v>189</v>
      </c>
      <c r="JN4" s="9">
        <v>0</v>
      </c>
      <c r="JO4" s="9" t="s">
        <v>50</v>
      </c>
      <c r="JP4" s="9">
        <v>837.38932865935271</v>
      </c>
      <c r="JQ4" s="9" t="s">
        <v>152</v>
      </c>
      <c r="JR4" s="9">
        <v>449.4</v>
      </c>
      <c r="JS4" s="9" t="s">
        <v>177</v>
      </c>
      <c r="JT4" s="9">
        <v>0</v>
      </c>
      <c r="JU4" s="9" t="s">
        <v>130</v>
      </c>
      <c r="JV4" s="9">
        <v>0</v>
      </c>
      <c r="JW4" s="9" t="s">
        <v>151</v>
      </c>
      <c r="JX4" s="9">
        <v>232.26615547082142</v>
      </c>
      <c r="JY4" s="9" t="s">
        <v>157</v>
      </c>
      <c r="JZ4" s="9">
        <v>0</v>
      </c>
      <c r="KA4" s="9" t="s">
        <v>28</v>
      </c>
      <c r="KB4" s="9">
        <v>618.79999999999995</v>
      </c>
      <c r="KC4" s="9" t="s">
        <v>137</v>
      </c>
      <c r="KD4" s="9">
        <v>0</v>
      </c>
      <c r="KE4" s="9" t="s">
        <v>65</v>
      </c>
      <c r="KF4" s="9">
        <v>0</v>
      </c>
      <c r="KG4" s="9" t="e">
        <f ca="1">INDEX(#REF!,RANDBETWEEN(1,176))</f>
        <v>#REF!</v>
      </c>
      <c r="KH4" s="9" t="e">
        <f ca="1">VLOOKUP($A4,#REF!,4,0)</f>
        <v>#REF!</v>
      </c>
      <c r="KI4" s="9" t="e">
        <f ca="1">INDEX(#REF!,RANDBETWEEN(1,176))</f>
        <v>#REF!</v>
      </c>
      <c r="KJ4" s="9" t="e">
        <f ca="1">VLOOKUP($A4,#REF!,4,0)</f>
        <v>#REF!</v>
      </c>
      <c r="KK4" s="9" t="e">
        <f ca="1">INDEX(#REF!,RANDBETWEEN(1,176))</f>
        <v>#REF!</v>
      </c>
      <c r="KL4" s="9" t="e">
        <f ca="1">VLOOKUP($A4,#REF!,4,0)</f>
        <v>#REF!</v>
      </c>
      <c r="KM4" s="9" t="e">
        <f ca="1">INDEX(#REF!,RANDBETWEEN(1,176))</f>
        <v>#REF!</v>
      </c>
      <c r="KN4" s="9" t="e">
        <f ca="1">VLOOKUP($A4,#REF!,4,0)</f>
        <v>#REF!</v>
      </c>
      <c r="KO4" s="9" t="e">
        <f ca="1">INDEX(#REF!,RANDBETWEEN(1,176))</f>
        <v>#REF!</v>
      </c>
      <c r="KP4" s="9" t="e">
        <f ca="1">VLOOKUP($A4,#REF!,4,0)</f>
        <v>#REF!</v>
      </c>
      <c r="KQ4" s="9" t="e">
        <f ca="1">INDEX(#REF!,RANDBETWEEN(1,176))</f>
        <v>#REF!</v>
      </c>
      <c r="KR4" s="9" t="e">
        <f ca="1">VLOOKUP($A4,#REF!,4,0)</f>
        <v>#REF!</v>
      </c>
      <c r="KS4" s="9" t="s">
        <v>154</v>
      </c>
      <c r="KT4" s="9">
        <v>65.099999999999994</v>
      </c>
      <c r="KU4" s="9" t="s">
        <v>190</v>
      </c>
      <c r="KV4" s="9">
        <v>0</v>
      </c>
      <c r="KW4" s="9" t="s">
        <v>184</v>
      </c>
      <c r="KX4" s="9">
        <v>0</v>
      </c>
      <c r="KY4" s="9" t="s">
        <v>90</v>
      </c>
      <c r="KZ4" s="9">
        <v>0</v>
      </c>
      <c r="LA4" s="9" t="s">
        <v>164</v>
      </c>
      <c r="LB4" s="9">
        <v>0</v>
      </c>
      <c r="LC4" s="9" t="s">
        <v>67</v>
      </c>
      <c r="LD4" s="9">
        <v>0</v>
      </c>
      <c r="LE4" s="9" t="s">
        <v>45</v>
      </c>
      <c r="LF4" s="9">
        <v>549.59321095902715</v>
      </c>
      <c r="LG4" s="9" t="s">
        <v>139</v>
      </c>
      <c r="LH4" s="9">
        <v>0</v>
      </c>
      <c r="LI4" s="9" t="s">
        <v>191</v>
      </c>
      <c r="LJ4" s="9">
        <v>0</v>
      </c>
      <c r="LK4" s="9" t="s">
        <v>35</v>
      </c>
      <c r="LL4" s="9">
        <v>0</v>
      </c>
      <c r="LM4" s="9" t="s">
        <v>38</v>
      </c>
      <c r="LN4" s="9">
        <v>0</v>
      </c>
      <c r="LO4" s="9" t="s">
        <v>36</v>
      </c>
      <c r="LP4" s="9">
        <v>0</v>
      </c>
      <c r="LQ4" s="9" t="s">
        <v>44</v>
      </c>
      <c r="LR4" s="9">
        <v>0</v>
      </c>
      <c r="LS4" s="9" t="s">
        <v>152</v>
      </c>
      <c r="LT4" s="9">
        <v>449.4</v>
      </c>
      <c r="LU4" s="9" t="s">
        <v>52</v>
      </c>
      <c r="LV4" s="9">
        <v>0</v>
      </c>
      <c r="LW4" s="9" t="s">
        <v>96</v>
      </c>
      <c r="LX4" s="9">
        <v>0</v>
      </c>
      <c r="LY4" s="9" t="s">
        <v>22</v>
      </c>
      <c r="LZ4" s="9">
        <v>0</v>
      </c>
      <c r="MA4" s="9" t="s">
        <v>157</v>
      </c>
      <c r="MB4" s="9">
        <v>0</v>
      </c>
      <c r="MC4" s="9" t="s">
        <v>197</v>
      </c>
      <c r="MD4" s="9">
        <v>1000</v>
      </c>
      <c r="ME4" s="9" t="s">
        <v>40</v>
      </c>
      <c r="MF4" s="9">
        <v>0</v>
      </c>
      <c r="MG4" s="9" t="s">
        <v>45</v>
      </c>
      <c r="MH4" s="9">
        <v>549.59321095902715</v>
      </c>
      <c r="MI4" s="9" t="s">
        <v>158</v>
      </c>
      <c r="MJ4" s="9">
        <v>0</v>
      </c>
      <c r="MK4" s="9" t="s">
        <v>151</v>
      </c>
      <c r="ML4" s="9">
        <v>232.26615547082142</v>
      </c>
      <c r="MM4" s="9" t="s">
        <v>59</v>
      </c>
      <c r="MN4" s="9">
        <v>0</v>
      </c>
      <c r="MO4" s="9" t="s">
        <v>150</v>
      </c>
      <c r="MP4" s="9">
        <v>0</v>
      </c>
      <c r="MQ4" s="9" t="s">
        <v>143</v>
      </c>
      <c r="MR4" s="9">
        <v>0</v>
      </c>
      <c r="MS4" s="9" t="s">
        <v>128</v>
      </c>
      <c r="MT4" s="9">
        <v>322.5</v>
      </c>
      <c r="MU4" s="9" t="s">
        <v>178</v>
      </c>
      <c r="MV4" s="9">
        <v>0</v>
      </c>
      <c r="MW4" s="9" t="s">
        <v>188</v>
      </c>
      <c r="MX4" s="9">
        <v>1751.0631565987637</v>
      </c>
      <c r="MY4" s="9" t="s">
        <v>65</v>
      </c>
      <c r="MZ4" s="9">
        <v>0</v>
      </c>
      <c r="NA4" s="9" t="s">
        <v>129</v>
      </c>
      <c r="NB4" s="9">
        <v>0</v>
      </c>
      <c r="NC4" s="9" t="s">
        <v>140</v>
      </c>
      <c r="ND4" s="9">
        <v>0</v>
      </c>
      <c r="NE4" s="9" t="s">
        <v>136</v>
      </c>
      <c r="NF4" s="9">
        <v>413.4</v>
      </c>
      <c r="NG4" s="9" t="s">
        <v>17</v>
      </c>
      <c r="NH4" s="9">
        <v>148.79999999999998</v>
      </c>
      <c r="NI4" s="9" t="s">
        <v>180</v>
      </c>
      <c r="NJ4" s="9">
        <v>0</v>
      </c>
      <c r="NK4" s="9" t="s">
        <v>164</v>
      </c>
      <c r="NL4" s="9">
        <v>0</v>
      </c>
      <c r="NM4" s="9" t="s">
        <v>63</v>
      </c>
      <c r="NN4" s="9">
        <v>0</v>
      </c>
      <c r="NO4" s="9" t="s">
        <v>164</v>
      </c>
      <c r="NP4" s="9">
        <v>0</v>
      </c>
      <c r="NQ4" s="9" t="s">
        <v>49</v>
      </c>
      <c r="NR4" s="9">
        <v>0</v>
      </c>
      <c r="NS4" s="9" t="s">
        <v>132</v>
      </c>
      <c r="NT4" s="9">
        <v>0</v>
      </c>
      <c r="NU4" s="9" t="s">
        <v>54</v>
      </c>
      <c r="NV4" s="9">
        <v>27.2</v>
      </c>
      <c r="NW4" s="9" t="s">
        <v>128</v>
      </c>
      <c r="NX4" s="9">
        <v>322.5</v>
      </c>
      <c r="NY4" s="9" t="s">
        <v>173</v>
      </c>
      <c r="NZ4" s="9">
        <v>0</v>
      </c>
      <c r="OA4" s="9" t="s">
        <v>15</v>
      </c>
      <c r="OB4" s="9">
        <v>0</v>
      </c>
      <c r="OC4" s="9" t="s">
        <v>194</v>
      </c>
      <c r="OD4" s="9">
        <v>0</v>
      </c>
      <c r="OE4" s="9" t="s">
        <v>55</v>
      </c>
      <c r="OF4" s="9">
        <v>0</v>
      </c>
      <c r="OG4" s="9" t="s">
        <v>162</v>
      </c>
      <c r="OH4" s="9">
        <v>0</v>
      </c>
      <c r="OI4" s="9" t="s">
        <v>80</v>
      </c>
      <c r="OJ4" s="9">
        <v>0</v>
      </c>
      <c r="OK4" s="9" t="s">
        <v>121</v>
      </c>
      <c r="OL4" s="9">
        <v>0</v>
      </c>
      <c r="OM4" s="9" t="s">
        <v>14</v>
      </c>
      <c r="ON4" s="9">
        <v>0</v>
      </c>
      <c r="OO4" s="9" t="s">
        <v>80</v>
      </c>
      <c r="OP4" s="9">
        <v>0</v>
      </c>
      <c r="OQ4" s="9" t="s">
        <v>110</v>
      </c>
      <c r="OR4" s="9">
        <v>0</v>
      </c>
      <c r="OS4" s="9" t="s">
        <v>41</v>
      </c>
      <c r="OT4" s="9">
        <v>0</v>
      </c>
      <c r="OU4" s="9" t="s">
        <v>37</v>
      </c>
      <c r="OV4" s="9">
        <v>31.6</v>
      </c>
      <c r="OW4" s="9" t="s">
        <v>51</v>
      </c>
      <c r="OX4" s="9">
        <v>0</v>
      </c>
      <c r="OY4" s="9" t="s">
        <v>22</v>
      </c>
      <c r="OZ4" s="9">
        <v>0</v>
      </c>
      <c r="PA4" s="9" t="s">
        <v>27</v>
      </c>
      <c r="PB4" s="9">
        <v>22.6</v>
      </c>
      <c r="PC4" s="9" t="s">
        <v>105</v>
      </c>
      <c r="PD4" s="9">
        <v>0</v>
      </c>
      <c r="PE4" s="9" t="s">
        <v>57</v>
      </c>
      <c r="PF4" s="9">
        <v>0</v>
      </c>
      <c r="PG4" s="9" t="s">
        <v>74</v>
      </c>
      <c r="PH4" s="9">
        <v>0</v>
      </c>
      <c r="PI4" s="9" t="s">
        <v>101</v>
      </c>
      <c r="PJ4" s="9">
        <v>625</v>
      </c>
      <c r="PK4" s="9" t="s">
        <v>24</v>
      </c>
      <c r="PL4" s="9">
        <v>0</v>
      </c>
      <c r="PM4" s="9" t="s">
        <v>42</v>
      </c>
      <c r="PN4" s="9">
        <v>0</v>
      </c>
      <c r="PO4" s="9" t="s">
        <v>91</v>
      </c>
      <c r="PP4" s="9">
        <v>0</v>
      </c>
      <c r="PQ4" s="9" t="s">
        <v>121</v>
      </c>
      <c r="PR4" s="9">
        <v>0</v>
      </c>
      <c r="PS4" s="9" t="s">
        <v>61</v>
      </c>
      <c r="PT4" s="9">
        <v>375.9131934216299</v>
      </c>
      <c r="PU4" s="9" t="s">
        <v>135</v>
      </c>
      <c r="PV4" s="9">
        <v>0</v>
      </c>
      <c r="PW4" s="9" t="s">
        <v>73</v>
      </c>
      <c r="PX4" s="9">
        <v>0</v>
      </c>
      <c r="PY4" s="9" t="s">
        <v>140</v>
      </c>
      <c r="PZ4" s="9">
        <v>0</v>
      </c>
      <c r="QA4" s="9" t="s">
        <v>148</v>
      </c>
      <c r="QB4" s="9">
        <v>0</v>
      </c>
      <c r="QC4" s="9" t="s">
        <v>135</v>
      </c>
      <c r="QD4" s="9">
        <v>0</v>
      </c>
      <c r="QE4" s="9" t="s">
        <v>103</v>
      </c>
      <c r="QF4" s="9">
        <v>436.07789852428124</v>
      </c>
      <c r="QG4" s="9" t="s">
        <v>163</v>
      </c>
      <c r="QH4" s="9">
        <v>0</v>
      </c>
      <c r="QI4" s="9" t="s">
        <v>179</v>
      </c>
      <c r="QJ4" s="9">
        <v>0</v>
      </c>
      <c r="QK4" s="9" t="s">
        <v>148</v>
      </c>
      <c r="QL4" s="9">
        <v>0</v>
      </c>
      <c r="QM4" s="9" t="s">
        <v>31</v>
      </c>
      <c r="QN4" s="9">
        <v>200</v>
      </c>
      <c r="QO4" s="9" t="s">
        <v>40</v>
      </c>
      <c r="QP4" s="9">
        <v>0</v>
      </c>
      <c r="QQ4" s="9" t="s">
        <v>23</v>
      </c>
      <c r="QR4" s="9">
        <v>680.40000000000009</v>
      </c>
      <c r="QS4" s="9" t="s">
        <v>200</v>
      </c>
      <c r="QT4" s="9">
        <v>0</v>
      </c>
      <c r="QU4" s="9" t="s">
        <v>124</v>
      </c>
      <c r="QV4" s="9">
        <v>0</v>
      </c>
      <c r="QW4" s="9" t="s">
        <v>123</v>
      </c>
      <c r="QX4" s="9">
        <v>0</v>
      </c>
      <c r="QY4" s="9" t="s">
        <v>100</v>
      </c>
      <c r="QZ4" s="9">
        <v>0</v>
      </c>
      <c r="RA4" s="9" t="s">
        <v>190</v>
      </c>
      <c r="RB4" s="9">
        <v>0</v>
      </c>
      <c r="RC4" s="9" t="s">
        <v>135</v>
      </c>
      <c r="RD4" s="9">
        <v>0</v>
      </c>
      <c r="RE4" s="9" t="s">
        <v>82</v>
      </c>
      <c r="RF4" s="9">
        <v>0</v>
      </c>
      <c r="RG4" s="9" t="s">
        <v>46</v>
      </c>
      <c r="RH4" s="9">
        <v>0</v>
      </c>
      <c r="RI4" s="9" t="s">
        <v>48</v>
      </c>
      <c r="RJ4" s="9">
        <v>0</v>
      </c>
      <c r="RK4" s="9" t="s">
        <v>82</v>
      </c>
      <c r="RL4" s="9">
        <v>0</v>
      </c>
      <c r="RM4" s="9" t="s">
        <v>142</v>
      </c>
      <c r="RN4" s="9">
        <v>0</v>
      </c>
      <c r="RO4" s="9" t="s">
        <v>192</v>
      </c>
      <c r="RP4" s="9">
        <v>0</v>
      </c>
      <c r="RQ4" s="9" t="s">
        <v>37</v>
      </c>
      <c r="RR4" s="9">
        <v>31.6</v>
      </c>
      <c r="RS4" s="9" t="s">
        <v>47</v>
      </c>
      <c r="RT4" s="9">
        <v>389.96562161946986</v>
      </c>
      <c r="RU4" s="9" t="s">
        <v>169</v>
      </c>
      <c r="RV4" s="9">
        <v>0</v>
      </c>
      <c r="RW4" s="9" t="s">
        <v>175</v>
      </c>
      <c r="RX4" s="9">
        <v>125</v>
      </c>
      <c r="RY4" s="9" t="s">
        <v>57</v>
      </c>
      <c r="RZ4" s="9">
        <v>0</v>
      </c>
      <c r="SA4" s="9" t="s">
        <v>144</v>
      </c>
      <c r="SB4" s="9">
        <v>0</v>
      </c>
      <c r="SC4" s="9" t="s">
        <v>171</v>
      </c>
      <c r="SD4" s="9">
        <v>0</v>
      </c>
      <c r="SE4" s="9" t="s">
        <v>84</v>
      </c>
      <c r="SF4" s="9">
        <v>0</v>
      </c>
      <c r="SG4" s="9" t="s">
        <v>23</v>
      </c>
      <c r="SH4" s="9">
        <v>680.40000000000009</v>
      </c>
      <c r="SI4" s="9" t="s">
        <v>80</v>
      </c>
      <c r="SJ4" s="9">
        <v>0</v>
      </c>
    </row>
    <row r="5" spans="1:504" x14ac:dyDescent="0.25">
      <c r="A5" s="9" t="e">
        <f ca="1">INDEX(#REF!,RANDBETWEEN(1,176))</f>
        <v>#REF!</v>
      </c>
      <c r="B5" s="9" t="e">
        <f ca="1">VLOOKUP($A5,#REF!,4,0)</f>
        <v>#REF!</v>
      </c>
      <c r="D5" s="14" t="e">
        <f ca="1">$A$5</f>
        <v>#REF!</v>
      </c>
      <c r="E5" s="9" t="e">
        <f ca="1">VLOOKUP($D5,#REF!,4,0)</f>
        <v>#REF!</v>
      </c>
      <c r="G5" s="9" t="s">
        <v>153</v>
      </c>
      <c r="H5" s="9">
        <v>0</v>
      </c>
      <c r="I5" s="9" t="s">
        <v>198</v>
      </c>
      <c r="J5" s="9">
        <v>0</v>
      </c>
      <c r="K5" s="9" t="s">
        <v>122</v>
      </c>
      <c r="L5" s="9">
        <v>0</v>
      </c>
      <c r="M5" s="9" t="s">
        <v>183</v>
      </c>
      <c r="N5" s="9">
        <v>0</v>
      </c>
      <c r="O5" s="9" t="s">
        <v>121</v>
      </c>
      <c r="P5" s="9">
        <v>0</v>
      </c>
      <c r="Q5" s="9" t="s">
        <v>181</v>
      </c>
      <c r="R5" s="9">
        <v>0</v>
      </c>
      <c r="S5" s="9" t="s">
        <v>125</v>
      </c>
      <c r="T5" s="9">
        <v>289.60000000000002</v>
      </c>
      <c r="U5" s="9" t="s">
        <v>188</v>
      </c>
      <c r="V5" s="9">
        <v>1751.0631565987637</v>
      </c>
      <c r="W5" s="9" t="s">
        <v>61</v>
      </c>
      <c r="X5" s="9">
        <v>375.9131934216299</v>
      </c>
      <c r="Y5" s="9" t="s">
        <v>35</v>
      </c>
      <c r="Z5" s="9">
        <v>0</v>
      </c>
      <c r="AA5" s="9" t="s">
        <v>186</v>
      </c>
      <c r="AB5" s="9">
        <v>0</v>
      </c>
      <c r="AC5" s="9" t="s">
        <v>98</v>
      </c>
      <c r="AD5" s="9">
        <v>0</v>
      </c>
      <c r="AE5" s="9" t="s">
        <v>191</v>
      </c>
      <c r="AF5" s="9">
        <v>0</v>
      </c>
      <c r="AG5" s="9" t="s">
        <v>184</v>
      </c>
      <c r="AH5" s="9">
        <v>0</v>
      </c>
      <c r="AI5" s="9" t="s">
        <v>91</v>
      </c>
      <c r="AJ5" s="9">
        <v>0</v>
      </c>
      <c r="AK5" s="9" t="s">
        <v>41</v>
      </c>
      <c r="AL5" s="9">
        <v>0</v>
      </c>
      <c r="AM5" s="9" t="s">
        <v>99</v>
      </c>
      <c r="AN5" s="9">
        <v>0</v>
      </c>
      <c r="AO5" s="9" t="s">
        <v>95</v>
      </c>
      <c r="AP5" s="9">
        <v>0</v>
      </c>
      <c r="AQ5" s="9" t="s">
        <v>138</v>
      </c>
      <c r="AR5" s="9">
        <v>0</v>
      </c>
      <c r="AS5" s="9" t="s">
        <v>130</v>
      </c>
      <c r="AT5" s="9">
        <v>0</v>
      </c>
      <c r="AU5" s="9" t="s">
        <v>105</v>
      </c>
      <c r="AV5" s="9">
        <v>0</v>
      </c>
      <c r="AW5" s="9" t="s">
        <v>173</v>
      </c>
      <c r="AX5" s="9">
        <v>0</v>
      </c>
      <c r="AY5" s="9" t="s">
        <v>94</v>
      </c>
      <c r="AZ5" s="9">
        <v>232.26615547082142</v>
      </c>
      <c r="BA5" s="9" t="s">
        <v>89</v>
      </c>
      <c r="BB5" s="9">
        <v>0</v>
      </c>
      <c r="BC5" s="9" t="s">
        <v>99</v>
      </c>
      <c r="BD5" s="9">
        <v>0</v>
      </c>
      <c r="BE5" s="9" t="s">
        <v>125</v>
      </c>
      <c r="BF5" s="9">
        <v>289.60000000000002</v>
      </c>
      <c r="BG5" s="9" t="s">
        <v>22</v>
      </c>
      <c r="BH5" s="9">
        <v>0</v>
      </c>
      <c r="BI5" s="9" t="s">
        <v>162</v>
      </c>
      <c r="BJ5" s="9">
        <v>0</v>
      </c>
      <c r="BK5" s="9" t="s">
        <v>104</v>
      </c>
      <c r="BL5" s="9">
        <v>0</v>
      </c>
      <c r="BM5" s="9" t="s">
        <v>171</v>
      </c>
      <c r="BN5" s="9">
        <v>0</v>
      </c>
      <c r="BO5" s="9" t="s">
        <v>128</v>
      </c>
      <c r="BP5" s="9">
        <v>322.5</v>
      </c>
      <c r="BQ5" s="9" t="s">
        <v>44</v>
      </c>
      <c r="BR5" s="9">
        <v>0</v>
      </c>
      <c r="BS5" s="9" t="s">
        <v>169</v>
      </c>
      <c r="BT5" s="9">
        <v>0</v>
      </c>
      <c r="BU5" s="9" t="s">
        <v>23</v>
      </c>
      <c r="BV5" s="9">
        <v>680.40000000000009</v>
      </c>
      <c r="BW5" s="9" t="s">
        <v>44</v>
      </c>
      <c r="BX5" s="9">
        <v>0</v>
      </c>
      <c r="BY5" s="9" t="s">
        <v>60</v>
      </c>
      <c r="BZ5" s="9">
        <v>0</v>
      </c>
      <c r="CA5" s="9" t="s">
        <v>142</v>
      </c>
      <c r="CB5" s="9">
        <v>0</v>
      </c>
      <c r="CC5" s="9" t="s">
        <v>141</v>
      </c>
      <c r="CD5" s="9">
        <v>0</v>
      </c>
      <c r="CE5" s="9" t="s">
        <v>67</v>
      </c>
      <c r="CF5" s="9">
        <v>0</v>
      </c>
      <c r="CG5" s="9" t="s">
        <v>166</v>
      </c>
      <c r="CH5" s="9">
        <v>0</v>
      </c>
      <c r="CI5" s="9" t="s">
        <v>61</v>
      </c>
      <c r="CJ5" s="9">
        <v>375.9131934216299</v>
      </c>
      <c r="CK5" s="9" t="s">
        <v>101</v>
      </c>
      <c r="CL5" s="9">
        <v>625</v>
      </c>
      <c r="CM5" s="9" t="s">
        <v>154</v>
      </c>
      <c r="CN5" s="9">
        <v>65.099999999999994</v>
      </c>
      <c r="CO5" s="9" t="s">
        <v>71</v>
      </c>
      <c r="CP5" s="9">
        <v>0</v>
      </c>
      <c r="CQ5" s="9" t="s">
        <v>125</v>
      </c>
      <c r="CR5" s="9">
        <v>289.60000000000002</v>
      </c>
      <c r="CS5" s="9" t="s">
        <v>185</v>
      </c>
      <c r="CT5" s="9">
        <v>0</v>
      </c>
      <c r="CU5" s="9" t="s">
        <v>65</v>
      </c>
      <c r="CV5" s="9">
        <v>0</v>
      </c>
      <c r="CW5" s="9" t="s">
        <v>69</v>
      </c>
      <c r="CX5" s="9">
        <v>0</v>
      </c>
      <c r="CY5" s="9" t="s">
        <v>191</v>
      </c>
      <c r="CZ5" s="9">
        <v>0</v>
      </c>
      <c r="DA5" s="9" t="s">
        <v>144</v>
      </c>
      <c r="DB5" s="9">
        <v>0</v>
      </c>
      <c r="DC5" s="9" t="s">
        <v>37</v>
      </c>
      <c r="DD5" s="9">
        <v>31.6</v>
      </c>
      <c r="DE5" s="9" t="s">
        <v>81</v>
      </c>
      <c r="DF5" s="9">
        <v>0</v>
      </c>
      <c r="DG5" s="9" t="s">
        <v>179</v>
      </c>
      <c r="DH5" s="9">
        <v>0</v>
      </c>
      <c r="DI5" s="9" t="s">
        <v>197</v>
      </c>
      <c r="DJ5" s="9">
        <v>1000</v>
      </c>
      <c r="DK5" s="9" t="s">
        <v>185</v>
      </c>
      <c r="DL5" s="9">
        <v>0</v>
      </c>
      <c r="DM5" s="9" t="s">
        <v>35</v>
      </c>
      <c r="DN5" s="9">
        <v>0</v>
      </c>
      <c r="DO5" s="9" t="s">
        <v>26</v>
      </c>
      <c r="DP5" s="9">
        <v>382.5</v>
      </c>
      <c r="DQ5" s="9" t="s">
        <v>72</v>
      </c>
      <c r="DR5" s="9">
        <v>0</v>
      </c>
      <c r="DS5" s="9" t="s">
        <v>89</v>
      </c>
      <c r="DT5" s="9">
        <v>0</v>
      </c>
      <c r="DU5" s="9" t="s">
        <v>47</v>
      </c>
      <c r="DV5" s="9">
        <v>389.96562161946986</v>
      </c>
      <c r="DW5" s="9" t="s">
        <v>69</v>
      </c>
      <c r="DX5" s="9">
        <v>0</v>
      </c>
      <c r="DY5" s="9" t="s">
        <v>150</v>
      </c>
      <c r="DZ5" s="9">
        <v>0</v>
      </c>
      <c r="EA5" s="9" t="s">
        <v>149</v>
      </c>
      <c r="EB5" s="9">
        <v>851.64257005967852</v>
      </c>
      <c r="EC5" s="9" t="s">
        <v>60</v>
      </c>
      <c r="ED5" s="9">
        <v>0</v>
      </c>
      <c r="EE5" s="9" t="s">
        <v>74</v>
      </c>
      <c r="EF5" s="9">
        <v>0</v>
      </c>
      <c r="EG5" s="9" t="s">
        <v>17</v>
      </c>
      <c r="EH5" s="9">
        <v>148.79999999999998</v>
      </c>
      <c r="EI5" s="9" t="s">
        <v>156</v>
      </c>
      <c r="EJ5" s="9">
        <v>829.10021856815433</v>
      </c>
      <c r="EK5" s="9" t="s">
        <v>97</v>
      </c>
      <c r="EL5" s="9">
        <v>0</v>
      </c>
      <c r="EM5" s="9" t="s">
        <v>35</v>
      </c>
      <c r="EN5" s="9">
        <v>0</v>
      </c>
      <c r="EO5" s="9" t="s">
        <v>173</v>
      </c>
      <c r="EP5" s="9">
        <v>0</v>
      </c>
      <c r="EQ5" s="9" t="s">
        <v>119</v>
      </c>
      <c r="ER5" s="9">
        <v>547.79999999999995</v>
      </c>
      <c r="ES5" s="9" t="s">
        <v>66</v>
      </c>
      <c r="ET5" s="9">
        <v>0</v>
      </c>
      <c r="EU5" s="9" t="s">
        <v>161</v>
      </c>
      <c r="EV5" s="9">
        <v>0</v>
      </c>
      <c r="EW5" s="9" t="s">
        <v>126</v>
      </c>
      <c r="EX5" s="9">
        <v>512.5</v>
      </c>
      <c r="EY5" s="9" t="s">
        <v>24</v>
      </c>
      <c r="EZ5" s="9">
        <v>0</v>
      </c>
      <c r="FA5" s="9" t="s">
        <v>96</v>
      </c>
      <c r="FB5" s="9">
        <v>0</v>
      </c>
      <c r="FC5" s="9" t="s">
        <v>75</v>
      </c>
      <c r="FD5" s="9">
        <v>0</v>
      </c>
      <c r="FE5" s="9" t="s">
        <v>75</v>
      </c>
      <c r="FF5" s="9">
        <v>0</v>
      </c>
      <c r="FG5" s="9" t="s">
        <v>58</v>
      </c>
      <c r="FH5" s="9">
        <v>0</v>
      </c>
      <c r="FI5" s="9" t="s">
        <v>181</v>
      </c>
      <c r="FJ5" s="9">
        <v>0</v>
      </c>
      <c r="FK5" s="9" t="s">
        <v>161</v>
      </c>
      <c r="FL5" s="9">
        <v>0</v>
      </c>
      <c r="FM5" s="9" t="s">
        <v>31</v>
      </c>
      <c r="FN5" s="9">
        <v>200</v>
      </c>
      <c r="FO5" s="9" t="s">
        <v>21</v>
      </c>
      <c r="FP5" s="9">
        <v>0</v>
      </c>
      <c r="FQ5" s="9" t="s">
        <v>144</v>
      </c>
      <c r="FR5" s="9">
        <v>0</v>
      </c>
      <c r="FS5" s="9" t="s">
        <v>38</v>
      </c>
      <c r="FT5" s="9">
        <v>0</v>
      </c>
      <c r="FU5" s="9" t="s">
        <v>40</v>
      </c>
      <c r="FV5" s="9">
        <v>0</v>
      </c>
      <c r="FW5" s="9" t="s">
        <v>105</v>
      </c>
      <c r="FX5" s="9">
        <v>0</v>
      </c>
      <c r="FY5" s="9" t="s">
        <v>178</v>
      </c>
      <c r="FZ5" s="9">
        <v>0</v>
      </c>
      <c r="GA5" s="9" t="s">
        <v>182</v>
      </c>
      <c r="GB5" s="9">
        <v>0</v>
      </c>
      <c r="GC5" s="9" t="s">
        <v>77</v>
      </c>
      <c r="GD5" s="9">
        <v>0</v>
      </c>
      <c r="GE5" s="9" t="s">
        <v>193</v>
      </c>
      <c r="GF5" s="9">
        <v>0</v>
      </c>
      <c r="GG5" s="9" t="s">
        <v>47</v>
      </c>
      <c r="GH5" s="9">
        <v>389.96562161946986</v>
      </c>
      <c r="GI5" s="9" t="s">
        <v>80</v>
      </c>
      <c r="GJ5" s="9">
        <v>0</v>
      </c>
      <c r="GK5" s="9" t="s">
        <v>176</v>
      </c>
      <c r="GL5" s="9">
        <v>0</v>
      </c>
      <c r="GM5" s="9" t="s">
        <v>124</v>
      </c>
      <c r="GN5" s="9">
        <v>0</v>
      </c>
      <c r="GO5" s="9" t="s">
        <v>75</v>
      </c>
      <c r="GP5" s="9">
        <v>0</v>
      </c>
      <c r="GQ5" s="9" t="s">
        <v>35</v>
      </c>
      <c r="GR5" s="9">
        <v>0</v>
      </c>
      <c r="GS5" s="9" t="s">
        <v>52</v>
      </c>
      <c r="GT5" s="9">
        <v>0</v>
      </c>
      <c r="GU5" s="9" t="s">
        <v>156</v>
      </c>
      <c r="GV5" s="9">
        <v>829.10021856815433</v>
      </c>
      <c r="GW5" s="9" t="s">
        <v>37</v>
      </c>
      <c r="GX5" s="9">
        <v>31.6</v>
      </c>
      <c r="GY5" s="9" t="s">
        <v>68</v>
      </c>
      <c r="GZ5" s="9">
        <v>250</v>
      </c>
      <c r="HA5" s="9" t="s">
        <v>77</v>
      </c>
      <c r="HB5" s="9">
        <v>0</v>
      </c>
      <c r="HC5" s="9" t="s">
        <v>27</v>
      </c>
      <c r="HD5" s="9">
        <v>22.6</v>
      </c>
      <c r="HE5" s="9" t="s">
        <v>124</v>
      </c>
      <c r="HF5" s="9">
        <v>0</v>
      </c>
      <c r="HG5" s="9" t="s">
        <v>67</v>
      </c>
      <c r="HH5" s="9">
        <v>0</v>
      </c>
      <c r="HI5" s="9" t="s">
        <v>64</v>
      </c>
      <c r="HJ5" s="9">
        <v>0</v>
      </c>
      <c r="HK5" s="9" t="s">
        <v>14</v>
      </c>
      <c r="HL5" s="9">
        <v>0</v>
      </c>
      <c r="HM5" s="9" t="s">
        <v>85</v>
      </c>
      <c r="HN5" s="9">
        <v>0</v>
      </c>
      <c r="HO5" s="9" t="s">
        <v>99</v>
      </c>
      <c r="HP5" s="9">
        <v>0</v>
      </c>
      <c r="HQ5" s="9" t="s">
        <v>124</v>
      </c>
      <c r="HR5" s="9">
        <v>0</v>
      </c>
      <c r="HS5" s="9" t="s">
        <v>42</v>
      </c>
      <c r="HT5" s="9">
        <v>0</v>
      </c>
      <c r="HU5" s="9" t="s">
        <v>27</v>
      </c>
      <c r="HV5" s="9">
        <v>22.6</v>
      </c>
      <c r="HW5" s="9" t="s">
        <v>64</v>
      </c>
      <c r="HX5" s="9">
        <v>0</v>
      </c>
      <c r="HY5" s="9" t="s">
        <v>153</v>
      </c>
      <c r="HZ5" s="9">
        <v>0</v>
      </c>
      <c r="IA5" s="9" t="s">
        <v>193</v>
      </c>
      <c r="IB5" s="9">
        <v>0</v>
      </c>
      <c r="IC5" s="9" t="s">
        <v>88</v>
      </c>
      <c r="ID5" s="9">
        <v>0</v>
      </c>
      <c r="IE5" s="9" t="s">
        <v>185</v>
      </c>
      <c r="IF5" s="9">
        <v>0</v>
      </c>
      <c r="IG5" s="9" t="s">
        <v>34</v>
      </c>
      <c r="IH5" s="9">
        <v>0</v>
      </c>
      <c r="II5" s="9" t="s">
        <v>78</v>
      </c>
      <c r="IJ5" s="9">
        <v>0</v>
      </c>
      <c r="IK5" s="9" t="s">
        <v>70</v>
      </c>
      <c r="IL5" s="9">
        <v>0</v>
      </c>
      <c r="IM5" s="9" t="s">
        <v>57</v>
      </c>
      <c r="IN5" s="9">
        <v>0</v>
      </c>
      <c r="IO5" s="9" t="s">
        <v>173</v>
      </c>
      <c r="IP5" s="9">
        <v>0</v>
      </c>
      <c r="IQ5" s="9" t="s">
        <v>58</v>
      </c>
      <c r="IR5" s="9">
        <v>0</v>
      </c>
      <c r="IS5" s="9" t="s">
        <v>194</v>
      </c>
      <c r="IT5" s="9">
        <v>0</v>
      </c>
      <c r="IU5" s="9" t="s">
        <v>70</v>
      </c>
      <c r="IV5" s="9">
        <v>0</v>
      </c>
      <c r="IW5" s="9" t="s">
        <v>33</v>
      </c>
      <c r="IX5" s="9">
        <v>20.100000000000001</v>
      </c>
      <c r="IY5" s="9" t="s">
        <v>43</v>
      </c>
      <c r="IZ5" s="9">
        <v>929.06462188328567</v>
      </c>
      <c r="JA5" s="9" t="s">
        <v>78</v>
      </c>
      <c r="JB5" s="9">
        <v>0</v>
      </c>
      <c r="JC5" s="9" t="s">
        <v>30</v>
      </c>
      <c r="JD5" s="9">
        <v>196.8</v>
      </c>
      <c r="JE5" s="9" t="s">
        <v>32</v>
      </c>
      <c r="JF5" s="9">
        <v>0</v>
      </c>
      <c r="JG5" s="9" t="s">
        <v>187</v>
      </c>
      <c r="JH5" s="9">
        <v>0</v>
      </c>
      <c r="JI5" s="9" t="s">
        <v>161</v>
      </c>
      <c r="JJ5" s="9">
        <v>0</v>
      </c>
      <c r="JK5" s="9" t="s">
        <v>162</v>
      </c>
      <c r="JL5" s="9">
        <v>0</v>
      </c>
      <c r="JM5" s="9" t="s">
        <v>58</v>
      </c>
      <c r="JN5" s="9">
        <v>0</v>
      </c>
      <c r="JO5" s="9" t="s">
        <v>164</v>
      </c>
      <c r="JP5" s="9">
        <v>0</v>
      </c>
      <c r="JQ5" s="9" t="s">
        <v>27</v>
      </c>
      <c r="JR5" s="9">
        <v>22.6</v>
      </c>
      <c r="JS5" s="9" t="s">
        <v>139</v>
      </c>
      <c r="JT5" s="9">
        <v>0</v>
      </c>
      <c r="JU5" s="9" t="s">
        <v>182</v>
      </c>
      <c r="JV5" s="9">
        <v>0</v>
      </c>
      <c r="JW5" s="9" t="s">
        <v>133</v>
      </c>
      <c r="JX5" s="9">
        <v>0</v>
      </c>
      <c r="JY5" s="9" t="s">
        <v>48</v>
      </c>
      <c r="JZ5" s="9">
        <v>0</v>
      </c>
      <c r="KA5" s="9" t="s">
        <v>99</v>
      </c>
      <c r="KB5" s="9">
        <v>0</v>
      </c>
      <c r="KC5" s="9" t="s">
        <v>120</v>
      </c>
      <c r="KD5" s="9">
        <v>0</v>
      </c>
      <c r="KE5" s="9" t="s">
        <v>172</v>
      </c>
      <c r="KF5" s="9">
        <v>0</v>
      </c>
      <c r="KG5" s="9" t="e">
        <f ca="1">INDEX(#REF!,RANDBETWEEN(1,176))</f>
        <v>#REF!</v>
      </c>
      <c r="KH5" s="9" t="e">
        <f ca="1">VLOOKUP($A5,#REF!,4,0)</f>
        <v>#REF!</v>
      </c>
      <c r="KI5" s="9" t="e">
        <f ca="1">INDEX(#REF!,RANDBETWEEN(1,176))</f>
        <v>#REF!</v>
      </c>
      <c r="KJ5" s="9" t="e">
        <f ca="1">VLOOKUP($A5,#REF!,4,0)</f>
        <v>#REF!</v>
      </c>
      <c r="KK5" s="9" t="e">
        <f ca="1">INDEX(#REF!,RANDBETWEEN(1,176))</f>
        <v>#REF!</v>
      </c>
      <c r="KL5" s="9" t="e">
        <f ca="1">VLOOKUP($A5,#REF!,4,0)</f>
        <v>#REF!</v>
      </c>
      <c r="KM5" s="9" t="e">
        <f ca="1">INDEX(#REF!,RANDBETWEEN(1,176))</f>
        <v>#REF!</v>
      </c>
      <c r="KN5" s="9" t="e">
        <f ca="1">VLOOKUP($A5,#REF!,4,0)</f>
        <v>#REF!</v>
      </c>
      <c r="KO5" s="9" t="e">
        <f ca="1">INDEX(#REF!,RANDBETWEEN(1,176))</f>
        <v>#REF!</v>
      </c>
      <c r="KP5" s="9" t="e">
        <f ca="1">VLOOKUP($A5,#REF!,4,0)</f>
        <v>#REF!</v>
      </c>
      <c r="KQ5" s="9" t="e">
        <f ca="1">INDEX(#REF!,RANDBETWEEN(1,176))</f>
        <v>#REF!</v>
      </c>
      <c r="KR5" s="9" t="e">
        <f ca="1">VLOOKUP($A5,#REF!,4,0)</f>
        <v>#REF!</v>
      </c>
      <c r="KS5" s="9" t="s">
        <v>182</v>
      </c>
      <c r="KT5" s="9">
        <v>0</v>
      </c>
      <c r="KU5" s="9" t="s">
        <v>168</v>
      </c>
      <c r="KV5" s="9">
        <v>0</v>
      </c>
      <c r="KW5" s="9" t="s">
        <v>164</v>
      </c>
      <c r="KX5" s="9">
        <v>0</v>
      </c>
      <c r="KY5" s="9" t="s">
        <v>51</v>
      </c>
      <c r="KZ5" s="9">
        <v>0</v>
      </c>
      <c r="LA5" s="9" t="s">
        <v>142</v>
      </c>
      <c r="LB5" s="9">
        <v>0</v>
      </c>
      <c r="LC5" s="9" t="s">
        <v>168</v>
      </c>
      <c r="LD5" s="9">
        <v>0</v>
      </c>
      <c r="LE5" s="9" t="s">
        <v>23</v>
      </c>
      <c r="LF5" s="9">
        <v>680.40000000000009</v>
      </c>
      <c r="LG5" s="9" t="s">
        <v>179</v>
      </c>
      <c r="LH5" s="9">
        <v>0</v>
      </c>
      <c r="LI5" s="9" t="s">
        <v>91</v>
      </c>
      <c r="LJ5" s="9">
        <v>0</v>
      </c>
      <c r="LK5" s="9" t="s">
        <v>140</v>
      </c>
      <c r="LL5" s="9">
        <v>0</v>
      </c>
      <c r="LM5" s="9" t="s">
        <v>195</v>
      </c>
      <c r="LN5" s="9">
        <v>0</v>
      </c>
      <c r="LO5" s="9" t="s">
        <v>65</v>
      </c>
      <c r="LP5" s="9">
        <v>0</v>
      </c>
      <c r="LQ5" s="9" t="s">
        <v>37</v>
      </c>
      <c r="LR5" s="9">
        <v>31.6</v>
      </c>
      <c r="LS5" s="9" t="s">
        <v>73</v>
      </c>
      <c r="LT5" s="9">
        <v>0</v>
      </c>
      <c r="LU5" s="9" t="s">
        <v>200</v>
      </c>
      <c r="LV5" s="9">
        <v>0</v>
      </c>
      <c r="LW5" s="9" t="s">
        <v>90</v>
      </c>
      <c r="LX5" s="9">
        <v>0</v>
      </c>
      <c r="LY5" s="9" t="s">
        <v>120</v>
      </c>
      <c r="LZ5" s="9">
        <v>0</v>
      </c>
      <c r="MA5" s="9" t="s">
        <v>83</v>
      </c>
      <c r="MB5" s="9">
        <v>0</v>
      </c>
      <c r="MC5" s="9" t="s">
        <v>183</v>
      </c>
      <c r="MD5" s="9">
        <v>0</v>
      </c>
      <c r="ME5" s="9" t="s">
        <v>33</v>
      </c>
      <c r="MF5" s="9">
        <v>20.100000000000001</v>
      </c>
      <c r="MG5" s="9" t="s">
        <v>154</v>
      </c>
      <c r="MH5" s="9">
        <v>65.099999999999994</v>
      </c>
      <c r="MI5" s="9" t="s">
        <v>59</v>
      </c>
      <c r="MJ5" s="9">
        <v>0</v>
      </c>
      <c r="MK5" s="9" t="s">
        <v>79</v>
      </c>
      <c r="ML5" s="9">
        <v>0</v>
      </c>
      <c r="MM5" s="9" t="s">
        <v>183</v>
      </c>
      <c r="MN5" s="9">
        <v>0</v>
      </c>
      <c r="MO5" s="9" t="s">
        <v>98</v>
      </c>
      <c r="MP5" s="9">
        <v>0</v>
      </c>
      <c r="MQ5" s="9" t="s">
        <v>104</v>
      </c>
      <c r="MR5" s="9">
        <v>0</v>
      </c>
      <c r="MS5" s="9" t="s">
        <v>84</v>
      </c>
      <c r="MT5" s="9">
        <v>0</v>
      </c>
      <c r="MU5" s="9" t="s">
        <v>124</v>
      </c>
      <c r="MV5" s="9">
        <v>0</v>
      </c>
      <c r="MW5" s="9" t="s">
        <v>180</v>
      </c>
      <c r="MX5" s="9">
        <v>0</v>
      </c>
      <c r="MY5" s="9" t="s">
        <v>49</v>
      </c>
      <c r="MZ5" s="9">
        <v>0</v>
      </c>
      <c r="NA5" s="9" t="s">
        <v>25</v>
      </c>
      <c r="NB5" s="9">
        <v>0</v>
      </c>
      <c r="NC5" s="9" t="s">
        <v>154</v>
      </c>
      <c r="ND5" s="9">
        <v>65.099999999999994</v>
      </c>
      <c r="NE5" s="9" t="s">
        <v>75</v>
      </c>
      <c r="NF5" s="9">
        <v>0</v>
      </c>
      <c r="NG5" s="9" t="s">
        <v>188</v>
      </c>
      <c r="NH5" s="9">
        <v>1751.0631565987637</v>
      </c>
      <c r="NI5" s="9" t="s">
        <v>200</v>
      </c>
      <c r="NJ5" s="9">
        <v>0</v>
      </c>
      <c r="NK5" s="9" t="s">
        <v>178</v>
      </c>
      <c r="NL5" s="9">
        <v>0</v>
      </c>
      <c r="NM5" s="9" t="s">
        <v>52</v>
      </c>
      <c r="NN5" s="9">
        <v>0</v>
      </c>
      <c r="NO5" s="9" t="s">
        <v>186</v>
      </c>
      <c r="NP5" s="9">
        <v>0</v>
      </c>
      <c r="NQ5" s="9" t="s">
        <v>181</v>
      </c>
      <c r="NR5" s="9">
        <v>0</v>
      </c>
      <c r="NS5" s="9" t="s">
        <v>153</v>
      </c>
      <c r="NT5" s="9">
        <v>0</v>
      </c>
      <c r="NU5" s="9" t="s">
        <v>87</v>
      </c>
      <c r="NV5" s="9">
        <v>0</v>
      </c>
      <c r="NW5" s="9" t="s">
        <v>187</v>
      </c>
      <c r="NX5" s="9">
        <v>0</v>
      </c>
      <c r="NY5" s="9" t="s">
        <v>89</v>
      </c>
      <c r="NZ5" s="9">
        <v>0</v>
      </c>
      <c r="OA5" s="9" t="s">
        <v>83</v>
      </c>
      <c r="OB5" s="9">
        <v>0</v>
      </c>
      <c r="OC5" s="9" t="s">
        <v>134</v>
      </c>
      <c r="OD5" s="9">
        <v>1635.2921194660546</v>
      </c>
      <c r="OE5" s="9" t="s">
        <v>110</v>
      </c>
      <c r="OF5" s="9">
        <v>0</v>
      </c>
      <c r="OG5" s="9" t="s">
        <v>84</v>
      </c>
      <c r="OH5" s="9">
        <v>0</v>
      </c>
      <c r="OI5" s="9" t="s">
        <v>72</v>
      </c>
      <c r="OJ5" s="9">
        <v>0</v>
      </c>
      <c r="OK5" s="9" t="s">
        <v>109</v>
      </c>
      <c r="OL5" s="9">
        <v>0</v>
      </c>
      <c r="OM5" s="9" t="s">
        <v>150</v>
      </c>
      <c r="ON5" s="9">
        <v>0</v>
      </c>
      <c r="OO5" s="9" t="s">
        <v>125</v>
      </c>
      <c r="OP5" s="9">
        <v>289.60000000000002</v>
      </c>
      <c r="OQ5" s="9" t="s">
        <v>63</v>
      </c>
      <c r="OR5" s="9">
        <v>0</v>
      </c>
      <c r="OS5" s="9" t="s">
        <v>31</v>
      </c>
      <c r="OT5" s="9">
        <v>200</v>
      </c>
      <c r="OU5" s="9" t="s">
        <v>76</v>
      </c>
      <c r="OV5" s="9">
        <v>0</v>
      </c>
      <c r="OW5" s="9" t="s">
        <v>20</v>
      </c>
      <c r="OX5" s="9">
        <v>0</v>
      </c>
      <c r="OY5" s="9" t="s">
        <v>59</v>
      </c>
      <c r="OZ5" s="9">
        <v>0</v>
      </c>
      <c r="PA5" s="9" t="s">
        <v>33</v>
      </c>
      <c r="PB5" s="9">
        <v>20.100000000000001</v>
      </c>
      <c r="PC5" s="9" t="s">
        <v>104</v>
      </c>
      <c r="PD5" s="9">
        <v>0</v>
      </c>
      <c r="PE5" s="9" t="s">
        <v>161</v>
      </c>
      <c r="PF5" s="9">
        <v>0</v>
      </c>
      <c r="PG5" s="9" t="s">
        <v>196</v>
      </c>
      <c r="PH5" s="9">
        <v>0</v>
      </c>
      <c r="PI5" s="9" t="s">
        <v>182</v>
      </c>
      <c r="PJ5" s="9">
        <v>0</v>
      </c>
      <c r="PK5" s="9" t="s">
        <v>56</v>
      </c>
      <c r="PL5" s="9">
        <v>0</v>
      </c>
      <c r="PM5" s="9" t="s">
        <v>141</v>
      </c>
      <c r="PN5" s="9">
        <v>0</v>
      </c>
      <c r="PO5" s="9" t="s">
        <v>183</v>
      </c>
      <c r="PP5" s="9">
        <v>0</v>
      </c>
      <c r="PQ5" s="9" t="s">
        <v>39</v>
      </c>
      <c r="PR5" s="9">
        <v>82</v>
      </c>
      <c r="PS5" s="9" t="s">
        <v>71</v>
      </c>
      <c r="PT5" s="9">
        <v>0</v>
      </c>
      <c r="PU5" s="9" t="s">
        <v>28</v>
      </c>
      <c r="PV5" s="9">
        <v>618.79999999999995</v>
      </c>
      <c r="PW5" s="9" t="s">
        <v>55</v>
      </c>
      <c r="PX5" s="9">
        <v>0</v>
      </c>
      <c r="PY5" s="9" t="s">
        <v>132</v>
      </c>
      <c r="PZ5" s="9">
        <v>0</v>
      </c>
      <c r="QA5" s="9" t="s">
        <v>22</v>
      </c>
      <c r="QB5" s="9">
        <v>0</v>
      </c>
      <c r="QC5" s="9" t="s">
        <v>110</v>
      </c>
      <c r="QD5" s="9">
        <v>0</v>
      </c>
      <c r="QE5" s="9" t="s">
        <v>88</v>
      </c>
      <c r="QF5" s="9">
        <v>0</v>
      </c>
      <c r="QG5" s="9" t="s">
        <v>18</v>
      </c>
      <c r="QH5" s="9">
        <v>0</v>
      </c>
      <c r="QI5" s="9" t="s">
        <v>125</v>
      </c>
      <c r="QJ5" s="9">
        <v>289.60000000000002</v>
      </c>
      <c r="QK5" s="9" t="s">
        <v>41</v>
      </c>
      <c r="QL5" s="9">
        <v>0</v>
      </c>
      <c r="QM5" s="9" t="s">
        <v>87</v>
      </c>
      <c r="QN5" s="9">
        <v>0</v>
      </c>
      <c r="QO5" s="9" t="s">
        <v>142</v>
      </c>
      <c r="QP5" s="9">
        <v>0</v>
      </c>
      <c r="QQ5" s="9" t="s">
        <v>72</v>
      </c>
      <c r="QR5" s="9">
        <v>0</v>
      </c>
      <c r="QS5" s="9" t="s">
        <v>55</v>
      </c>
      <c r="QT5" s="9">
        <v>0</v>
      </c>
      <c r="QU5" s="9" t="s">
        <v>59</v>
      </c>
      <c r="QV5" s="9">
        <v>0</v>
      </c>
      <c r="QW5" s="9" t="s">
        <v>47</v>
      </c>
      <c r="QX5" s="9">
        <v>389.96562161946986</v>
      </c>
      <c r="QY5" s="9" t="s">
        <v>19</v>
      </c>
      <c r="QZ5" s="9">
        <v>608.40000000000009</v>
      </c>
      <c r="RA5" s="9" t="s">
        <v>83</v>
      </c>
      <c r="RB5" s="9">
        <v>0</v>
      </c>
      <c r="RC5" s="9" t="s">
        <v>48</v>
      </c>
      <c r="RD5" s="9">
        <v>0</v>
      </c>
      <c r="RE5" s="9" t="s">
        <v>149</v>
      </c>
      <c r="RF5" s="9">
        <v>851.64257005967852</v>
      </c>
      <c r="RG5" s="9" t="s">
        <v>137</v>
      </c>
      <c r="RH5" s="9">
        <v>0</v>
      </c>
      <c r="RI5" s="9" t="s">
        <v>80</v>
      </c>
      <c r="RJ5" s="9">
        <v>0</v>
      </c>
      <c r="RK5" s="9" t="s">
        <v>139</v>
      </c>
      <c r="RL5" s="9">
        <v>0</v>
      </c>
      <c r="RM5" s="9" t="s">
        <v>76</v>
      </c>
      <c r="RN5" s="9">
        <v>0</v>
      </c>
      <c r="RO5" s="9" t="s">
        <v>104</v>
      </c>
      <c r="RP5" s="9">
        <v>0</v>
      </c>
      <c r="RQ5" s="9" t="s">
        <v>66</v>
      </c>
      <c r="RR5" s="9">
        <v>0</v>
      </c>
      <c r="RS5" s="9" t="s">
        <v>100</v>
      </c>
      <c r="RT5" s="9">
        <v>0</v>
      </c>
      <c r="RU5" s="9" t="s">
        <v>157</v>
      </c>
      <c r="RV5" s="9">
        <v>0</v>
      </c>
      <c r="RW5" s="9" t="s">
        <v>89</v>
      </c>
      <c r="RX5" s="9">
        <v>0</v>
      </c>
      <c r="RY5" s="9" t="s">
        <v>143</v>
      </c>
      <c r="RZ5" s="9">
        <v>0</v>
      </c>
      <c r="SA5" s="9" t="s">
        <v>161</v>
      </c>
      <c r="SB5" s="9">
        <v>0</v>
      </c>
      <c r="SC5" s="9" t="s">
        <v>76</v>
      </c>
      <c r="SD5" s="9">
        <v>0</v>
      </c>
      <c r="SE5" s="9" t="s">
        <v>148</v>
      </c>
      <c r="SF5" s="9">
        <v>0</v>
      </c>
      <c r="SG5" s="9" t="s">
        <v>20</v>
      </c>
      <c r="SH5" s="9">
        <v>0</v>
      </c>
      <c r="SI5" s="9" t="s">
        <v>24</v>
      </c>
      <c r="SJ5" s="9">
        <v>0</v>
      </c>
    </row>
    <row r="6" spans="1:504" x14ac:dyDescent="0.25">
      <c r="A6" s="9" t="e">
        <f ca="1">INDEX(#REF!,RANDBETWEEN(1,176))</f>
        <v>#REF!</v>
      </c>
      <c r="B6" s="9" t="e">
        <f ca="1">VLOOKUP($A6,#REF!,4,0)</f>
        <v>#REF!</v>
      </c>
      <c r="D6" s="14" t="e">
        <f ca="1">$A$6</f>
        <v>#REF!</v>
      </c>
      <c r="E6" s="9" t="e">
        <f ca="1">VLOOKUP($D6,#REF!,4,0)</f>
        <v>#REF!</v>
      </c>
      <c r="G6" s="9" t="s">
        <v>65</v>
      </c>
      <c r="H6" s="9">
        <v>0</v>
      </c>
      <c r="I6" s="9" t="s">
        <v>141</v>
      </c>
      <c r="J6" s="9">
        <v>0</v>
      </c>
      <c r="K6" s="9" t="s">
        <v>156</v>
      </c>
      <c r="L6" s="9">
        <v>829.10021856815433</v>
      </c>
      <c r="M6" s="9" t="s">
        <v>189</v>
      </c>
      <c r="N6" s="9">
        <v>0</v>
      </c>
      <c r="O6" s="9" t="s">
        <v>40</v>
      </c>
      <c r="P6" s="9">
        <v>0</v>
      </c>
      <c r="Q6" s="9" t="s">
        <v>108</v>
      </c>
      <c r="R6" s="9">
        <v>0</v>
      </c>
      <c r="S6" s="9" t="s">
        <v>15</v>
      </c>
      <c r="T6" s="9">
        <v>0</v>
      </c>
      <c r="U6" s="9" t="s">
        <v>93</v>
      </c>
      <c r="V6" s="9">
        <v>0</v>
      </c>
      <c r="W6" s="9" t="s">
        <v>139</v>
      </c>
      <c r="X6" s="9">
        <v>0</v>
      </c>
      <c r="Y6" s="9" t="s">
        <v>119</v>
      </c>
      <c r="Z6" s="9">
        <v>547.79999999999995</v>
      </c>
      <c r="AA6" s="9" t="s">
        <v>174</v>
      </c>
      <c r="AB6" s="9">
        <v>0</v>
      </c>
      <c r="AC6" s="9" t="s">
        <v>71</v>
      </c>
      <c r="AD6" s="9">
        <v>0</v>
      </c>
      <c r="AE6" s="9" t="s">
        <v>109</v>
      </c>
      <c r="AF6" s="9">
        <v>0</v>
      </c>
      <c r="AG6" s="9" t="s">
        <v>97</v>
      </c>
      <c r="AH6" s="9">
        <v>0</v>
      </c>
      <c r="AI6" s="9" t="s">
        <v>86</v>
      </c>
      <c r="AJ6" s="9">
        <v>0</v>
      </c>
      <c r="AK6" s="9" t="s">
        <v>132</v>
      </c>
      <c r="AL6" s="9">
        <v>0</v>
      </c>
      <c r="AM6" s="9" t="s">
        <v>184</v>
      </c>
      <c r="AN6" s="9">
        <v>0</v>
      </c>
      <c r="AO6" s="9" t="s">
        <v>75</v>
      </c>
      <c r="AP6" s="9">
        <v>0</v>
      </c>
      <c r="AQ6" s="9" t="s">
        <v>198</v>
      </c>
      <c r="AR6" s="9">
        <v>0</v>
      </c>
      <c r="AS6" s="9" t="s">
        <v>174</v>
      </c>
      <c r="AT6" s="9">
        <v>0</v>
      </c>
      <c r="AU6" s="9" t="s">
        <v>42</v>
      </c>
      <c r="AV6" s="9">
        <v>0</v>
      </c>
      <c r="AW6" s="9" t="s">
        <v>59</v>
      </c>
      <c r="AX6" s="9">
        <v>0</v>
      </c>
      <c r="AY6" s="9" t="s">
        <v>99</v>
      </c>
      <c r="AZ6" s="9">
        <v>0</v>
      </c>
      <c r="BA6" s="9" t="s">
        <v>172</v>
      </c>
      <c r="BB6" s="9">
        <v>0</v>
      </c>
      <c r="BC6" s="9" t="s">
        <v>100</v>
      </c>
      <c r="BD6" s="9">
        <v>0</v>
      </c>
      <c r="BE6" s="9" t="s">
        <v>16</v>
      </c>
      <c r="BF6" s="9">
        <v>400.79999999999995</v>
      </c>
      <c r="BG6" s="9" t="s">
        <v>60</v>
      </c>
      <c r="BH6" s="9">
        <v>0</v>
      </c>
      <c r="BI6" s="9" t="s">
        <v>32</v>
      </c>
      <c r="BJ6" s="9">
        <v>0</v>
      </c>
      <c r="BK6" s="9" t="s">
        <v>176</v>
      </c>
      <c r="BL6" s="9">
        <v>0</v>
      </c>
      <c r="BM6" s="9" t="s">
        <v>143</v>
      </c>
      <c r="BN6" s="9">
        <v>0</v>
      </c>
      <c r="BO6" s="9" t="s">
        <v>104</v>
      </c>
      <c r="BP6" s="9">
        <v>0</v>
      </c>
      <c r="BQ6" s="9" t="s">
        <v>22</v>
      </c>
      <c r="BR6" s="9">
        <v>0</v>
      </c>
      <c r="BS6" s="9" t="s">
        <v>30</v>
      </c>
      <c r="BT6" s="9">
        <v>196.8</v>
      </c>
      <c r="BU6" s="9" t="s">
        <v>137</v>
      </c>
      <c r="BV6" s="9">
        <v>0</v>
      </c>
      <c r="BW6" s="9" t="s">
        <v>46</v>
      </c>
      <c r="BX6" s="9">
        <v>0</v>
      </c>
      <c r="BY6" s="9" t="s">
        <v>164</v>
      </c>
      <c r="BZ6" s="9">
        <v>0</v>
      </c>
      <c r="CA6" s="9" t="s">
        <v>197</v>
      </c>
      <c r="CB6" s="9">
        <v>1000</v>
      </c>
      <c r="CC6" s="9" t="s">
        <v>14</v>
      </c>
      <c r="CD6" s="9">
        <v>0</v>
      </c>
      <c r="CE6" s="9" t="s">
        <v>191</v>
      </c>
      <c r="CF6" s="9">
        <v>0</v>
      </c>
      <c r="CG6" s="9" t="s">
        <v>67</v>
      </c>
      <c r="CH6" s="9">
        <v>0</v>
      </c>
      <c r="CI6" s="9" t="s">
        <v>142</v>
      </c>
      <c r="CJ6" s="9">
        <v>0</v>
      </c>
      <c r="CK6" s="9" t="s">
        <v>189</v>
      </c>
      <c r="CL6" s="9">
        <v>0</v>
      </c>
      <c r="CM6" s="9" t="s">
        <v>173</v>
      </c>
      <c r="CN6" s="9">
        <v>0</v>
      </c>
      <c r="CO6" s="9" t="s">
        <v>192</v>
      </c>
      <c r="CP6" s="9">
        <v>0</v>
      </c>
      <c r="CQ6" s="9" t="s">
        <v>98</v>
      </c>
      <c r="CR6" s="9">
        <v>0</v>
      </c>
      <c r="CS6" s="9" t="s">
        <v>161</v>
      </c>
      <c r="CT6" s="9">
        <v>0</v>
      </c>
      <c r="CU6" s="9" t="s">
        <v>180</v>
      </c>
      <c r="CV6" s="9">
        <v>0</v>
      </c>
      <c r="CW6" s="9" t="s">
        <v>52</v>
      </c>
      <c r="CX6" s="9">
        <v>0</v>
      </c>
      <c r="CY6" s="9" t="s">
        <v>192</v>
      </c>
      <c r="CZ6" s="9">
        <v>0</v>
      </c>
      <c r="DA6" s="9" t="s">
        <v>17</v>
      </c>
      <c r="DB6" s="9">
        <v>148.79999999999998</v>
      </c>
      <c r="DC6" s="9" t="s">
        <v>49</v>
      </c>
      <c r="DD6" s="9">
        <v>0</v>
      </c>
      <c r="DE6" s="9" t="s">
        <v>68</v>
      </c>
      <c r="DF6" s="9">
        <v>250</v>
      </c>
      <c r="DG6" s="9" t="s">
        <v>106</v>
      </c>
      <c r="DH6" s="9">
        <v>0</v>
      </c>
      <c r="DI6" s="9" t="s">
        <v>190</v>
      </c>
      <c r="DJ6" s="9">
        <v>0</v>
      </c>
      <c r="DK6" s="9" t="s">
        <v>126</v>
      </c>
      <c r="DL6" s="9">
        <v>512.5</v>
      </c>
      <c r="DM6" s="9" t="s">
        <v>178</v>
      </c>
      <c r="DN6" s="9">
        <v>0</v>
      </c>
      <c r="DO6" s="9" t="s">
        <v>59</v>
      </c>
      <c r="DP6" s="9">
        <v>0</v>
      </c>
      <c r="DQ6" s="9" t="s">
        <v>110</v>
      </c>
      <c r="DR6" s="9">
        <v>0</v>
      </c>
      <c r="DS6" s="9" t="s">
        <v>40</v>
      </c>
      <c r="DT6" s="9">
        <v>0</v>
      </c>
      <c r="DU6" s="9" t="s">
        <v>101</v>
      </c>
      <c r="DV6" s="9">
        <v>625</v>
      </c>
      <c r="DW6" s="9" t="s">
        <v>125</v>
      </c>
      <c r="DX6" s="9">
        <v>289.60000000000002</v>
      </c>
      <c r="DY6" s="9" t="s">
        <v>20</v>
      </c>
      <c r="DZ6" s="9">
        <v>0</v>
      </c>
      <c r="EA6" s="9" t="s">
        <v>17</v>
      </c>
      <c r="EB6" s="9">
        <v>148.79999999999998</v>
      </c>
      <c r="EC6" s="9" t="s">
        <v>135</v>
      </c>
      <c r="ED6" s="9">
        <v>0</v>
      </c>
      <c r="EE6" s="9" t="s">
        <v>157</v>
      </c>
      <c r="EF6" s="9">
        <v>0</v>
      </c>
      <c r="EG6" s="9" t="s">
        <v>170</v>
      </c>
      <c r="EH6" s="9">
        <v>0</v>
      </c>
      <c r="EI6" s="9" t="s">
        <v>89</v>
      </c>
      <c r="EJ6" s="9">
        <v>0</v>
      </c>
      <c r="EK6" s="9" t="s">
        <v>72</v>
      </c>
      <c r="EL6" s="9">
        <v>0</v>
      </c>
      <c r="EM6" s="9" t="s">
        <v>167</v>
      </c>
      <c r="EN6" s="9">
        <v>0</v>
      </c>
      <c r="EO6" s="9" t="s">
        <v>53</v>
      </c>
      <c r="EP6" s="9">
        <v>0</v>
      </c>
      <c r="EQ6" s="9" t="s">
        <v>191</v>
      </c>
      <c r="ER6" s="9">
        <v>0</v>
      </c>
      <c r="ES6" s="9" t="s">
        <v>101</v>
      </c>
      <c r="ET6" s="9">
        <v>625</v>
      </c>
      <c r="EU6" s="9" t="s">
        <v>167</v>
      </c>
      <c r="EV6" s="9">
        <v>0</v>
      </c>
      <c r="EW6" s="9" t="s">
        <v>42</v>
      </c>
      <c r="EX6" s="9">
        <v>0</v>
      </c>
      <c r="EY6" s="9" t="s">
        <v>69</v>
      </c>
      <c r="EZ6" s="9">
        <v>0</v>
      </c>
      <c r="FA6" s="9" t="s">
        <v>166</v>
      </c>
      <c r="FB6" s="9">
        <v>0</v>
      </c>
      <c r="FC6" s="9" t="s">
        <v>61</v>
      </c>
      <c r="FD6" s="9">
        <v>375.9131934216299</v>
      </c>
      <c r="FE6" s="9" t="s">
        <v>54</v>
      </c>
      <c r="FF6" s="9">
        <v>27.2</v>
      </c>
      <c r="FG6" s="9" t="s">
        <v>152</v>
      </c>
      <c r="FH6" s="9">
        <v>449.4</v>
      </c>
      <c r="FI6" s="9" t="s">
        <v>92</v>
      </c>
      <c r="FJ6" s="9">
        <v>0</v>
      </c>
      <c r="FK6" s="9" t="s">
        <v>181</v>
      </c>
      <c r="FL6" s="9">
        <v>0</v>
      </c>
      <c r="FM6" s="9" t="s">
        <v>137</v>
      </c>
      <c r="FN6" s="9">
        <v>0</v>
      </c>
      <c r="FO6" s="9" t="s">
        <v>137</v>
      </c>
      <c r="FP6" s="9">
        <v>0</v>
      </c>
      <c r="FQ6" s="9" t="s">
        <v>40</v>
      </c>
      <c r="FR6" s="9">
        <v>0</v>
      </c>
      <c r="FS6" s="9" t="s">
        <v>162</v>
      </c>
      <c r="FT6" s="9">
        <v>0</v>
      </c>
      <c r="FU6" s="9" t="s">
        <v>81</v>
      </c>
      <c r="FV6" s="9">
        <v>0</v>
      </c>
      <c r="FW6" s="9" t="s">
        <v>85</v>
      </c>
      <c r="FX6" s="9">
        <v>0</v>
      </c>
      <c r="FY6" s="9" t="s">
        <v>162</v>
      </c>
      <c r="FZ6" s="9">
        <v>0</v>
      </c>
      <c r="GA6" s="9" t="s">
        <v>103</v>
      </c>
      <c r="GB6" s="9">
        <v>436.07789852428124</v>
      </c>
      <c r="GC6" s="9" t="s">
        <v>175</v>
      </c>
      <c r="GD6" s="9">
        <v>125</v>
      </c>
      <c r="GE6" s="9" t="s">
        <v>30</v>
      </c>
      <c r="GF6" s="9">
        <v>196.8</v>
      </c>
      <c r="GG6" s="9" t="s">
        <v>99</v>
      </c>
      <c r="GH6" s="9">
        <v>0</v>
      </c>
      <c r="GI6" s="9" t="s">
        <v>164</v>
      </c>
      <c r="GJ6" s="9">
        <v>0</v>
      </c>
      <c r="GK6" s="9" t="s">
        <v>198</v>
      </c>
      <c r="GL6" s="9">
        <v>0</v>
      </c>
      <c r="GM6" s="9" t="s">
        <v>47</v>
      </c>
      <c r="GN6" s="9">
        <v>389.96562161946986</v>
      </c>
      <c r="GO6" s="9" t="s">
        <v>54</v>
      </c>
      <c r="GP6" s="9">
        <v>27.2</v>
      </c>
      <c r="GQ6" s="9" t="s">
        <v>25</v>
      </c>
      <c r="GR6" s="9">
        <v>0</v>
      </c>
      <c r="GS6" s="9" t="s">
        <v>119</v>
      </c>
      <c r="GT6" s="9">
        <v>547.79999999999995</v>
      </c>
      <c r="GU6" s="9" t="s">
        <v>131</v>
      </c>
      <c r="GV6" s="9">
        <v>0</v>
      </c>
      <c r="GW6" s="9" t="s">
        <v>173</v>
      </c>
      <c r="GX6" s="9">
        <v>0</v>
      </c>
      <c r="GY6" s="9" t="s">
        <v>62</v>
      </c>
      <c r="GZ6" s="9">
        <v>0</v>
      </c>
      <c r="HA6" s="9" t="s">
        <v>175</v>
      </c>
      <c r="HB6" s="9">
        <v>125</v>
      </c>
      <c r="HC6" s="9" t="s">
        <v>131</v>
      </c>
      <c r="HD6" s="9">
        <v>0</v>
      </c>
      <c r="HE6" s="9" t="s">
        <v>38</v>
      </c>
      <c r="HF6" s="9">
        <v>0</v>
      </c>
      <c r="HG6" s="9" t="s">
        <v>47</v>
      </c>
      <c r="HH6" s="9">
        <v>389.96562161946986</v>
      </c>
      <c r="HI6" s="9" t="s">
        <v>61</v>
      </c>
      <c r="HJ6" s="9">
        <v>375.9131934216299</v>
      </c>
      <c r="HK6" s="9" t="s">
        <v>128</v>
      </c>
      <c r="HL6" s="9">
        <v>322.5</v>
      </c>
      <c r="HM6" s="9" t="s">
        <v>37</v>
      </c>
      <c r="HN6" s="9">
        <v>31.6</v>
      </c>
      <c r="HO6" s="9" t="s">
        <v>131</v>
      </c>
      <c r="HP6" s="9">
        <v>0</v>
      </c>
      <c r="HQ6" s="9" t="s">
        <v>97</v>
      </c>
      <c r="HR6" s="9">
        <v>0</v>
      </c>
      <c r="HS6" s="9" t="s">
        <v>119</v>
      </c>
      <c r="HT6" s="9">
        <v>547.79999999999995</v>
      </c>
      <c r="HU6" s="9" t="s">
        <v>88</v>
      </c>
      <c r="HV6" s="9">
        <v>0</v>
      </c>
      <c r="HW6" s="9" t="s">
        <v>105</v>
      </c>
      <c r="HX6" s="9">
        <v>0</v>
      </c>
      <c r="HY6" s="9" t="s">
        <v>172</v>
      </c>
      <c r="HZ6" s="9">
        <v>0</v>
      </c>
      <c r="IA6" s="9" t="s">
        <v>144</v>
      </c>
      <c r="IB6" s="9">
        <v>0</v>
      </c>
      <c r="IC6" s="9" t="s">
        <v>176</v>
      </c>
      <c r="ID6" s="9">
        <v>0</v>
      </c>
      <c r="IE6" s="9" t="s">
        <v>130</v>
      </c>
      <c r="IF6" s="9">
        <v>0</v>
      </c>
      <c r="IG6" s="9" t="s">
        <v>76</v>
      </c>
      <c r="IH6" s="9">
        <v>0</v>
      </c>
      <c r="II6" s="9" t="s">
        <v>69</v>
      </c>
      <c r="IJ6" s="9">
        <v>0</v>
      </c>
      <c r="IK6" s="9" t="s">
        <v>61</v>
      </c>
      <c r="IL6" s="9">
        <v>375.9131934216299</v>
      </c>
      <c r="IM6" s="9" t="s">
        <v>131</v>
      </c>
      <c r="IN6" s="9">
        <v>0</v>
      </c>
      <c r="IO6" s="9" t="s">
        <v>139</v>
      </c>
      <c r="IP6" s="9">
        <v>0</v>
      </c>
      <c r="IQ6" s="9" t="s">
        <v>60</v>
      </c>
      <c r="IR6" s="9">
        <v>0</v>
      </c>
      <c r="IS6" s="9" t="s">
        <v>19</v>
      </c>
      <c r="IT6" s="9">
        <v>608.40000000000009</v>
      </c>
      <c r="IU6" s="9" t="s">
        <v>169</v>
      </c>
      <c r="IV6" s="9">
        <v>0</v>
      </c>
      <c r="IW6" s="9" t="s">
        <v>47</v>
      </c>
      <c r="IX6" s="9">
        <v>389.96562161946986</v>
      </c>
      <c r="IY6" s="9" t="s">
        <v>200</v>
      </c>
      <c r="IZ6" s="9">
        <v>0</v>
      </c>
      <c r="JA6" s="9" t="s">
        <v>46</v>
      </c>
      <c r="JB6" s="9">
        <v>0</v>
      </c>
      <c r="JC6" s="9" t="s">
        <v>165</v>
      </c>
      <c r="JD6" s="9">
        <v>799.06957920465936</v>
      </c>
      <c r="JE6" s="9" t="s">
        <v>149</v>
      </c>
      <c r="JF6" s="9">
        <v>851.64257005967852</v>
      </c>
      <c r="JG6" s="9" t="s">
        <v>85</v>
      </c>
      <c r="JH6" s="9">
        <v>0</v>
      </c>
      <c r="JI6" s="9" t="s">
        <v>102</v>
      </c>
      <c r="JJ6" s="9">
        <v>0</v>
      </c>
      <c r="JK6" s="9" t="s">
        <v>188</v>
      </c>
      <c r="JL6" s="9">
        <v>1751.0631565987637</v>
      </c>
      <c r="JM6" s="9" t="s">
        <v>171</v>
      </c>
      <c r="JN6" s="9">
        <v>0</v>
      </c>
      <c r="JO6" s="9" t="s">
        <v>54</v>
      </c>
      <c r="JP6" s="9">
        <v>27.2</v>
      </c>
      <c r="JQ6" s="9" t="s">
        <v>99</v>
      </c>
      <c r="JR6" s="9">
        <v>0</v>
      </c>
      <c r="JS6" s="9" t="s">
        <v>65</v>
      </c>
      <c r="JT6" s="9">
        <v>0</v>
      </c>
      <c r="JU6" s="9" t="s">
        <v>18</v>
      </c>
      <c r="JV6" s="9">
        <v>0</v>
      </c>
      <c r="JW6" s="9" t="s">
        <v>96</v>
      </c>
      <c r="JX6" s="9">
        <v>0</v>
      </c>
      <c r="JY6" s="9" t="s">
        <v>140</v>
      </c>
      <c r="JZ6" s="9">
        <v>0</v>
      </c>
      <c r="KA6" s="9" t="s">
        <v>91</v>
      </c>
      <c r="KB6" s="9">
        <v>0</v>
      </c>
      <c r="KC6" s="9" t="s">
        <v>103</v>
      </c>
      <c r="KD6" s="9">
        <v>436.07789852428124</v>
      </c>
      <c r="KE6" s="9" t="s">
        <v>141</v>
      </c>
      <c r="KF6" s="9">
        <v>0</v>
      </c>
      <c r="KG6" s="9" t="e">
        <f ca="1">INDEX(#REF!,RANDBETWEEN(1,176))</f>
        <v>#REF!</v>
      </c>
      <c r="KH6" s="9" t="e">
        <f ca="1">VLOOKUP($A6,#REF!,4,0)</f>
        <v>#REF!</v>
      </c>
      <c r="KI6" s="9" t="e">
        <f ca="1">INDEX(#REF!,RANDBETWEEN(1,176))</f>
        <v>#REF!</v>
      </c>
      <c r="KJ6" s="9" t="e">
        <f ca="1">VLOOKUP($A6,#REF!,4,0)</f>
        <v>#REF!</v>
      </c>
      <c r="KK6" s="9" t="e">
        <f ca="1">INDEX(#REF!,RANDBETWEEN(1,176))</f>
        <v>#REF!</v>
      </c>
      <c r="KL6" s="9" t="e">
        <f ca="1">VLOOKUP($A6,#REF!,4,0)</f>
        <v>#REF!</v>
      </c>
      <c r="KM6" s="9" t="e">
        <f ca="1">INDEX(#REF!,RANDBETWEEN(1,176))</f>
        <v>#REF!</v>
      </c>
      <c r="KN6" s="9" t="e">
        <f ca="1">VLOOKUP($A6,#REF!,4,0)</f>
        <v>#REF!</v>
      </c>
      <c r="KO6" s="9" t="e">
        <f ca="1">INDEX(#REF!,RANDBETWEEN(1,176))</f>
        <v>#REF!</v>
      </c>
      <c r="KP6" s="9" t="e">
        <f ca="1">VLOOKUP($A6,#REF!,4,0)</f>
        <v>#REF!</v>
      </c>
      <c r="KQ6" s="9" t="e">
        <f ca="1">INDEX(#REF!,RANDBETWEEN(1,176))</f>
        <v>#REF!</v>
      </c>
      <c r="KR6" s="9" t="e">
        <f ca="1">VLOOKUP($A6,#REF!,4,0)</f>
        <v>#REF!</v>
      </c>
      <c r="KS6" s="9" t="s">
        <v>59</v>
      </c>
      <c r="KT6" s="9">
        <v>0</v>
      </c>
      <c r="KU6" s="9" t="s">
        <v>144</v>
      </c>
      <c r="KV6" s="9">
        <v>0</v>
      </c>
      <c r="KW6" s="9" t="s">
        <v>49</v>
      </c>
      <c r="KX6" s="9">
        <v>0</v>
      </c>
      <c r="KY6" s="9" t="s">
        <v>39</v>
      </c>
      <c r="KZ6" s="9">
        <v>82</v>
      </c>
      <c r="LA6" s="9" t="s">
        <v>70</v>
      </c>
      <c r="LB6" s="9">
        <v>0</v>
      </c>
      <c r="LC6" s="9" t="s">
        <v>57</v>
      </c>
      <c r="LD6" s="9">
        <v>0</v>
      </c>
      <c r="LE6" s="9" t="s">
        <v>18</v>
      </c>
      <c r="LF6" s="9">
        <v>0</v>
      </c>
      <c r="LG6" s="9" t="s">
        <v>95</v>
      </c>
      <c r="LH6" s="9">
        <v>0</v>
      </c>
      <c r="LI6" s="9" t="s">
        <v>72</v>
      </c>
      <c r="LJ6" s="9">
        <v>0</v>
      </c>
      <c r="LK6" s="9" t="s">
        <v>142</v>
      </c>
      <c r="LL6" s="9">
        <v>0</v>
      </c>
      <c r="LM6" s="9" t="s">
        <v>81</v>
      </c>
      <c r="LN6" s="9">
        <v>0</v>
      </c>
      <c r="LO6" s="9" t="s">
        <v>85</v>
      </c>
      <c r="LP6" s="9">
        <v>0</v>
      </c>
      <c r="LQ6" s="9" t="s">
        <v>60</v>
      </c>
      <c r="LR6" s="9">
        <v>0</v>
      </c>
      <c r="LS6" s="9" t="s">
        <v>21</v>
      </c>
      <c r="LT6" s="9">
        <v>0</v>
      </c>
      <c r="LU6" s="9" t="s">
        <v>128</v>
      </c>
      <c r="LV6" s="9">
        <v>322.5</v>
      </c>
      <c r="LW6" s="9" t="s">
        <v>25</v>
      </c>
      <c r="LX6" s="9">
        <v>0</v>
      </c>
      <c r="LY6" s="9" t="s">
        <v>200</v>
      </c>
      <c r="LZ6" s="9">
        <v>0</v>
      </c>
      <c r="MA6" s="9" t="s">
        <v>121</v>
      </c>
      <c r="MB6" s="9">
        <v>0</v>
      </c>
      <c r="MC6" s="9" t="s">
        <v>24</v>
      </c>
      <c r="MD6" s="9">
        <v>0</v>
      </c>
      <c r="ME6" s="9" t="s">
        <v>45</v>
      </c>
      <c r="MF6" s="9">
        <v>549.59321095902715</v>
      </c>
      <c r="MG6" s="9" t="s">
        <v>23</v>
      </c>
      <c r="MH6" s="9">
        <v>680.40000000000009</v>
      </c>
      <c r="MI6" s="9" t="s">
        <v>87</v>
      </c>
      <c r="MJ6" s="9">
        <v>0</v>
      </c>
      <c r="MK6" s="9" t="s">
        <v>152</v>
      </c>
      <c r="ML6" s="9">
        <v>449.4</v>
      </c>
      <c r="MM6" s="9" t="s">
        <v>104</v>
      </c>
      <c r="MN6" s="9">
        <v>0</v>
      </c>
      <c r="MO6" s="9" t="s">
        <v>184</v>
      </c>
      <c r="MP6" s="9">
        <v>0</v>
      </c>
      <c r="MQ6" s="9" t="s">
        <v>82</v>
      </c>
      <c r="MR6" s="9">
        <v>0</v>
      </c>
      <c r="MS6" s="9" t="s">
        <v>25</v>
      </c>
      <c r="MT6" s="9">
        <v>0</v>
      </c>
      <c r="MU6" s="9" t="s">
        <v>119</v>
      </c>
      <c r="MV6" s="9">
        <v>547.79999999999995</v>
      </c>
      <c r="MW6" s="9" t="s">
        <v>128</v>
      </c>
      <c r="MX6" s="9">
        <v>322.5</v>
      </c>
      <c r="MY6" s="9" t="s">
        <v>53</v>
      </c>
      <c r="MZ6" s="9">
        <v>0</v>
      </c>
      <c r="NA6" s="9" t="s">
        <v>33</v>
      </c>
      <c r="NB6" s="9">
        <v>20.100000000000001</v>
      </c>
      <c r="NC6" s="9" t="s">
        <v>129</v>
      </c>
      <c r="ND6" s="9">
        <v>0</v>
      </c>
      <c r="NE6" s="9" t="s">
        <v>199</v>
      </c>
      <c r="NF6" s="9">
        <v>0</v>
      </c>
      <c r="NG6" s="9" t="s">
        <v>176</v>
      </c>
      <c r="NH6" s="9">
        <v>0</v>
      </c>
      <c r="NI6" s="9" t="s">
        <v>107</v>
      </c>
      <c r="NJ6" s="9">
        <v>0</v>
      </c>
      <c r="NK6" s="9" t="s">
        <v>81</v>
      </c>
      <c r="NL6" s="9">
        <v>0</v>
      </c>
      <c r="NM6" s="9" t="s">
        <v>19</v>
      </c>
      <c r="NN6" s="9">
        <v>608.40000000000009</v>
      </c>
      <c r="NO6" s="9" t="s">
        <v>49</v>
      </c>
      <c r="NP6" s="9">
        <v>0</v>
      </c>
      <c r="NQ6" s="9" t="s">
        <v>165</v>
      </c>
      <c r="NR6" s="9">
        <v>799.06957920465936</v>
      </c>
      <c r="NS6" s="9" t="s">
        <v>22</v>
      </c>
      <c r="NT6" s="9">
        <v>0</v>
      </c>
      <c r="NU6" s="9" t="s">
        <v>36</v>
      </c>
      <c r="NV6" s="9">
        <v>0</v>
      </c>
      <c r="NW6" s="9" t="s">
        <v>189</v>
      </c>
      <c r="NX6" s="9">
        <v>0</v>
      </c>
      <c r="NY6" s="9" t="s">
        <v>43</v>
      </c>
      <c r="NZ6" s="9">
        <v>929.06462188328567</v>
      </c>
      <c r="OA6" s="9" t="s">
        <v>158</v>
      </c>
      <c r="OB6" s="9">
        <v>0</v>
      </c>
      <c r="OC6" s="9" t="s">
        <v>188</v>
      </c>
      <c r="OD6" s="9">
        <v>1751.0631565987637</v>
      </c>
      <c r="OE6" s="9" t="s">
        <v>192</v>
      </c>
      <c r="OF6" s="9">
        <v>0</v>
      </c>
      <c r="OG6" s="9" t="s">
        <v>25</v>
      </c>
      <c r="OH6" s="9">
        <v>0</v>
      </c>
      <c r="OI6" s="9" t="s">
        <v>27</v>
      </c>
      <c r="OJ6" s="9">
        <v>22.6</v>
      </c>
      <c r="OK6" s="9" t="s">
        <v>15</v>
      </c>
      <c r="OL6" s="9">
        <v>0</v>
      </c>
      <c r="OM6" s="9" t="s">
        <v>93</v>
      </c>
      <c r="ON6" s="9">
        <v>0</v>
      </c>
      <c r="OO6" s="9" t="s">
        <v>190</v>
      </c>
      <c r="OP6" s="9">
        <v>0</v>
      </c>
      <c r="OQ6" s="9" t="s">
        <v>66</v>
      </c>
      <c r="OR6" s="9">
        <v>0</v>
      </c>
      <c r="OS6" s="9" t="s">
        <v>21</v>
      </c>
      <c r="OT6" s="9">
        <v>0</v>
      </c>
      <c r="OU6" s="9" t="s">
        <v>171</v>
      </c>
      <c r="OV6" s="9">
        <v>0</v>
      </c>
      <c r="OW6" s="9" t="s">
        <v>63</v>
      </c>
      <c r="OX6" s="9">
        <v>0</v>
      </c>
      <c r="OY6" s="9" t="s">
        <v>124</v>
      </c>
      <c r="OZ6" s="9">
        <v>0</v>
      </c>
      <c r="PA6" s="9" t="s">
        <v>26</v>
      </c>
      <c r="PB6" s="9">
        <v>382.5</v>
      </c>
      <c r="PC6" s="9" t="s">
        <v>149</v>
      </c>
      <c r="PD6" s="9">
        <v>851.64257005967852</v>
      </c>
      <c r="PE6" s="9" t="s">
        <v>180</v>
      </c>
      <c r="PF6" s="9">
        <v>0</v>
      </c>
      <c r="PG6" s="9" t="s">
        <v>59</v>
      </c>
      <c r="PH6" s="9">
        <v>0</v>
      </c>
      <c r="PI6" s="9" t="s">
        <v>162</v>
      </c>
      <c r="PJ6" s="9">
        <v>0</v>
      </c>
      <c r="PK6" s="9" t="s">
        <v>54</v>
      </c>
      <c r="PL6" s="9">
        <v>27.2</v>
      </c>
      <c r="PM6" s="9" t="s">
        <v>38</v>
      </c>
      <c r="PN6" s="9">
        <v>0</v>
      </c>
      <c r="PO6" s="9" t="s">
        <v>175</v>
      </c>
      <c r="PP6" s="9">
        <v>125</v>
      </c>
      <c r="PQ6" s="9" t="s">
        <v>14</v>
      </c>
      <c r="PR6" s="9">
        <v>0</v>
      </c>
      <c r="PS6" s="9" t="s">
        <v>95</v>
      </c>
      <c r="PT6" s="9">
        <v>0</v>
      </c>
      <c r="PU6" s="9" t="s">
        <v>127</v>
      </c>
      <c r="PV6" s="9">
        <v>0</v>
      </c>
      <c r="PW6" s="9" t="s">
        <v>143</v>
      </c>
      <c r="PX6" s="9">
        <v>0</v>
      </c>
      <c r="PY6" s="9" t="s">
        <v>17</v>
      </c>
      <c r="PZ6" s="9">
        <v>148.79999999999998</v>
      </c>
      <c r="QA6" s="9" t="s">
        <v>127</v>
      </c>
      <c r="QB6" s="9">
        <v>0</v>
      </c>
      <c r="QC6" s="9" t="s">
        <v>169</v>
      </c>
      <c r="QD6" s="9">
        <v>0</v>
      </c>
      <c r="QE6" s="9" t="s">
        <v>192</v>
      </c>
      <c r="QF6" s="9">
        <v>0</v>
      </c>
      <c r="QG6" s="9" t="s">
        <v>70</v>
      </c>
      <c r="QH6" s="9">
        <v>0</v>
      </c>
      <c r="QI6" s="9" t="s">
        <v>80</v>
      </c>
      <c r="QJ6" s="9">
        <v>0</v>
      </c>
      <c r="QK6" s="9" t="s">
        <v>109</v>
      </c>
      <c r="QL6" s="9">
        <v>0</v>
      </c>
      <c r="QM6" s="9" t="s">
        <v>76</v>
      </c>
      <c r="QN6" s="9">
        <v>0</v>
      </c>
      <c r="QO6" s="9" t="s">
        <v>200</v>
      </c>
      <c r="QP6" s="9">
        <v>0</v>
      </c>
      <c r="QQ6" s="9" t="s">
        <v>183</v>
      </c>
      <c r="QR6" s="9">
        <v>0</v>
      </c>
      <c r="QS6" s="9" t="s">
        <v>142</v>
      </c>
      <c r="QT6" s="9">
        <v>0</v>
      </c>
      <c r="QU6" s="9" t="s">
        <v>66</v>
      </c>
      <c r="QV6" s="9">
        <v>0</v>
      </c>
      <c r="QW6" s="9" t="s">
        <v>14</v>
      </c>
      <c r="QX6" s="9">
        <v>0</v>
      </c>
      <c r="QY6" s="9" t="s">
        <v>101</v>
      </c>
      <c r="QZ6" s="9">
        <v>625</v>
      </c>
      <c r="RA6" s="9" t="s">
        <v>55</v>
      </c>
      <c r="RB6" s="9">
        <v>0</v>
      </c>
      <c r="RC6" s="9" t="s">
        <v>86</v>
      </c>
      <c r="RD6" s="9">
        <v>0</v>
      </c>
      <c r="RE6" s="9" t="s">
        <v>39</v>
      </c>
      <c r="RF6" s="9">
        <v>82</v>
      </c>
      <c r="RG6" s="9" t="s">
        <v>16</v>
      </c>
      <c r="RH6" s="9">
        <v>400.79999999999995</v>
      </c>
      <c r="RI6" s="9" t="s">
        <v>46</v>
      </c>
      <c r="RJ6" s="9">
        <v>0</v>
      </c>
      <c r="RK6" s="9" t="s">
        <v>192</v>
      </c>
      <c r="RL6" s="9">
        <v>0</v>
      </c>
      <c r="RM6" s="9" t="s">
        <v>104</v>
      </c>
      <c r="RN6" s="9">
        <v>0</v>
      </c>
      <c r="RO6" s="9" t="s">
        <v>56</v>
      </c>
      <c r="RP6" s="9">
        <v>0</v>
      </c>
      <c r="RQ6" s="9" t="s">
        <v>192</v>
      </c>
      <c r="RR6" s="9">
        <v>0</v>
      </c>
      <c r="RS6" s="9" t="s">
        <v>162</v>
      </c>
      <c r="RT6" s="9">
        <v>0</v>
      </c>
      <c r="RU6" s="9" t="s">
        <v>21</v>
      </c>
      <c r="RV6" s="9">
        <v>0</v>
      </c>
      <c r="RW6" s="9" t="s">
        <v>173</v>
      </c>
      <c r="RX6" s="9">
        <v>0</v>
      </c>
      <c r="RY6" s="9" t="s">
        <v>102</v>
      </c>
      <c r="RZ6" s="9">
        <v>0</v>
      </c>
      <c r="SA6" s="9" t="s">
        <v>152</v>
      </c>
      <c r="SB6" s="9">
        <v>449.4</v>
      </c>
      <c r="SC6" s="9" t="s">
        <v>158</v>
      </c>
      <c r="SD6" s="9">
        <v>0</v>
      </c>
      <c r="SE6" s="9" t="s">
        <v>154</v>
      </c>
      <c r="SF6" s="9">
        <v>65.099999999999994</v>
      </c>
      <c r="SG6" s="9" t="s">
        <v>41</v>
      </c>
      <c r="SH6" s="9">
        <v>0</v>
      </c>
      <c r="SI6" s="9" t="s">
        <v>17</v>
      </c>
      <c r="SJ6" s="9">
        <v>148.79999999999998</v>
      </c>
    </row>
    <row r="7" spans="1:504" x14ac:dyDescent="0.25">
      <c r="A7" s="9" t="e">
        <f ca="1">INDEX(#REF!,RANDBETWEEN(1,176))</f>
        <v>#REF!</v>
      </c>
      <c r="B7" s="9" t="e">
        <f ca="1">VLOOKUP($A7,#REF!,4,0)</f>
        <v>#REF!</v>
      </c>
      <c r="D7" s="14" t="e">
        <f ca="1">$A$7</f>
        <v>#REF!</v>
      </c>
      <c r="E7" s="9" t="e">
        <f ca="1">VLOOKUP($D7,#REF!,4,0)</f>
        <v>#REF!</v>
      </c>
      <c r="G7" s="9" t="s">
        <v>53</v>
      </c>
      <c r="H7" s="9">
        <v>0</v>
      </c>
      <c r="I7" s="9" t="s">
        <v>72</v>
      </c>
      <c r="J7" s="9">
        <v>0</v>
      </c>
      <c r="K7" s="9" t="s">
        <v>187</v>
      </c>
      <c r="L7" s="9">
        <v>0</v>
      </c>
      <c r="M7" s="9" t="s">
        <v>168</v>
      </c>
      <c r="N7" s="9">
        <v>0</v>
      </c>
      <c r="O7" s="9" t="s">
        <v>56</v>
      </c>
      <c r="P7" s="9">
        <v>0</v>
      </c>
      <c r="Q7" s="9" t="s">
        <v>148</v>
      </c>
      <c r="R7" s="9">
        <v>0</v>
      </c>
      <c r="S7" s="9" t="s">
        <v>94</v>
      </c>
      <c r="T7" s="9">
        <v>232.26615547082142</v>
      </c>
      <c r="U7" s="9" t="s">
        <v>25</v>
      </c>
      <c r="V7" s="9">
        <v>0</v>
      </c>
      <c r="W7" s="9" t="s">
        <v>79</v>
      </c>
      <c r="X7" s="9">
        <v>0</v>
      </c>
      <c r="Y7" s="9" t="s">
        <v>108</v>
      </c>
      <c r="Z7" s="9">
        <v>0</v>
      </c>
      <c r="AA7" s="9" t="s">
        <v>80</v>
      </c>
      <c r="AB7" s="9">
        <v>0</v>
      </c>
      <c r="AC7" s="9" t="s">
        <v>124</v>
      </c>
      <c r="AD7" s="9">
        <v>0</v>
      </c>
      <c r="AE7" s="9" t="s">
        <v>20</v>
      </c>
      <c r="AF7" s="9">
        <v>0</v>
      </c>
      <c r="AG7" s="9" t="s">
        <v>106</v>
      </c>
      <c r="AH7" s="9">
        <v>0</v>
      </c>
      <c r="AI7" s="9" t="s">
        <v>171</v>
      </c>
      <c r="AJ7" s="9">
        <v>0</v>
      </c>
      <c r="AK7" s="9" t="s">
        <v>175</v>
      </c>
      <c r="AL7" s="9">
        <v>125</v>
      </c>
      <c r="AM7" s="9" t="s">
        <v>24</v>
      </c>
      <c r="AN7" s="9">
        <v>0</v>
      </c>
      <c r="AO7" s="9" t="s">
        <v>109</v>
      </c>
      <c r="AP7" s="9">
        <v>0</v>
      </c>
      <c r="AQ7" s="9" t="s">
        <v>22</v>
      </c>
      <c r="AR7" s="9">
        <v>0</v>
      </c>
      <c r="AS7" s="9" t="s">
        <v>119</v>
      </c>
      <c r="AT7" s="9">
        <v>547.79999999999995</v>
      </c>
      <c r="AU7" s="9" t="s">
        <v>33</v>
      </c>
      <c r="AV7" s="9">
        <v>20.100000000000001</v>
      </c>
      <c r="AW7" s="9" t="s">
        <v>39</v>
      </c>
      <c r="AX7" s="9">
        <v>82</v>
      </c>
      <c r="AY7" s="9" t="s">
        <v>69</v>
      </c>
      <c r="AZ7" s="9">
        <v>0</v>
      </c>
      <c r="BA7" s="9" t="s">
        <v>121</v>
      </c>
      <c r="BB7" s="9">
        <v>0</v>
      </c>
      <c r="BC7" s="9" t="s">
        <v>125</v>
      </c>
      <c r="BD7" s="9">
        <v>289.60000000000002</v>
      </c>
      <c r="BE7" s="9" t="s">
        <v>98</v>
      </c>
      <c r="BF7" s="9">
        <v>0</v>
      </c>
      <c r="BG7" s="9" t="s">
        <v>36</v>
      </c>
      <c r="BH7" s="9">
        <v>0</v>
      </c>
      <c r="BI7" s="9" t="s">
        <v>54</v>
      </c>
      <c r="BJ7" s="9">
        <v>27.2</v>
      </c>
      <c r="BK7" s="9" t="s">
        <v>25</v>
      </c>
      <c r="BL7" s="9">
        <v>0</v>
      </c>
      <c r="BM7" s="9" t="s">
        <v>165</v>
      </c>
      <c r="BN7" s="9">
        <v>799.06957920465936</v>
      </c>
      <c r="BO7" s="9" t="s">
        <v>99</v>
      </c>
      <c r="BP7" s="9">
        <v>0</v>
      </c>
      <c r="BQ7" s="9" t="s">
        <v>153</v>
      </c>
      <c r="BR7" s="9">
        <v>0</v>
      </c>
      <c r="BS7" s="9" t="s">
        <v>166</v>
      </c>
      <c r="BT7" s="9">
        <v>0</v>
      </c>
      <c r="BU7" s="9" t="s">
        <v>133</v>
      </c>
      <c r="BV7" s="9">
        <v>0</v>
      </c>
      <c r="BW7" s="9" t="s">
        <v>161</v>
      </c>
      <c r="BX7" s="9">
        <v>0</v>
      </c>
      <c r="BY7" s="9" t="s">
        <v>66</v>
      </c>
      <c r="BZ7" s="9">
        <v>0</v>
      </c>
      <c r="CA7" s="9" t="s">
        <v>107</v>
      </c>
      <c r="CB7" s="9">
        <v>0</v>
      </c>
      <c r="CC7" s="9" t="s">
        <v>73</v>
      </c>
      <c r="CD7" s="9">
        <v>0</v>
      </c>
      <c r="CE7" s="9" t="s">
        <v>179</v>
      </c>
      <c r="CF7" s="9">
        <v>0</v>
      </c>
      <c r="CG7" s="9" t="s">
        <v>195</v>
      </c>
      <c r="CH7" s="9">
        <v>0</v>
      </c>
      <c r="CI7" s="9" t="s">
        <v>90</v>
      </c>
      <c r="CJ7" s="9">
        <v>0</v>
      </c>
      <c r="CK7" s="9" t="s">
        <v>157</v>
      </c>
      <c r="CL7" s="9">
        <v>0</v>
      </c>
      <c r="CM7" s="9" t="s">
        <v>195</v>
      </c>
      <c r="CN7" s="9">
        <v>0</v>
      </c>
      <c r="CO7" s="9" t="s">
        <v>21</v>
      </c>
      <c r="CP7" s="9">
        <v>0</v>
      </c>
      <c r="CQ7" s="9" t="s">
        <v>183</v>
      </c>
      <c r="CR7" s="9">
        <v>0</v>
      </c>
      <c r="CS7" s="9" t="s">
        <v>29</v>
      </c>
      <c r="CT7" s="9">
        <v>0</v>
      </c>
      <c r="CU7" s="9" t="s">
        <v>105</v>
      </c>
      <c r="CV7" s="9">
        <v>0</v>
      </c>
      <c r="CW7" s="9" t="s">
        <v>63</v>
      </c>
      <c r="CX7" s="9">
        <v>0</v>
      </c>
      <c r="CY7" s="9" t="s">
        <v>181</v>
      </c>
      <c r="CZ7" s="9">
        <v>0</v>
      </c>
      <c r="DA7" s="9" t="s">
        <v>164</v>
      </c>
      <c r="DB7" s="9">
        <v>0</v>
      </c>
      <c r="DC7" s="9" t="s">
        <v>63</v>
      </c>
      <c r="DD7" s="9">
        <v>0</v>
      </c>
      <c r="DE7" s="9" t="s">
        <v>191</v>
      </c>
      <c r="DF7" s="9">
        <v>0</v>
      </c>
      <c r="DG7" s="9" t="s">
        <v>175</v>
      </c>
      <c r="DH7" s="9">
        <v>125</v>
      </c>
      <c r="DI7" s="9" t="s">
        <v>142</v>
      </c>
      <c r="DJ7" s="9">
        <v>0</v>
      </c>
      <c r="DK7" s="9" t="s">
        <v>17</v>
      </c>
      <c r="DL7" s="9">
        <v>148.79999999999998</v>
      </c>
      <c r="DM7" s="9" t="s">
        <v>41</v>
      </c>
      <c r="DN7" s="9">
        <v>0</v>
      </c>
      <c r="DO7" s="9" t="s">
        <v>165</v>
      </c>
      <c r="DP7" s="9">
        <v>799.06957920465936</v>
      </c>
      <c r="DQ7" s="9" t="s">
        <v>51</v>
      </c>
      <c r="DR7" s="9">
        <v>0</v>
      </c>
      <c r="DS7" s="9" t="s">
        <v>124</v>
      </c>
      <c r="DT7" s="9">
        <v>0</v>
      </c>
      <c r="DU7" s="9" t="s">
        <v>158</v>
      </c>
      <c r="DV7" s="9">
        <v>0</v>
      </c>
      <c r="DW7" s="9" t="s">
        <v>40</v>
      </c>
      <c r="DX7" s="9">
        <v>0</v>
      </c>
      <c r="DY7" s="9" t="s">
        <v>24</v>
      </c>
      <c r="DZ7" s="9">
        <v>0</v>
      </c>
      <c r="EA7" s="9" t="s">
        <v>150</v>
      </c>
      <c r="EB7" s="9">
        <v>0</v>
      </c>
      <c r="EC7" s="9" t="s">
        <v>137</v>
      </c>
      <c r="ED7" s="9">
        <v>0</v>
      </c>
      <c r="EE7" s="9" t="s">
        <v>120</v>
      </c>
      <c r="EF7" s="9">
        <v>0</v>
      </c>
      <c r="EG7" s="9" t="s">
        <v>130</v>
      </c>
      <c r="EH7" s="9">
        <v>0</v>
      </c>
      <c r="EI7" s="9" t="s">
        <v>120</v>
      </c>
      <c r="EJ7" s="9">
        <v>0</v>
      </c>
      <c r="EK7" s="9" t="s">
        <v>108</v>
      </c>
      <c r="EL7" s="9">
        <v>0</v>
      </c>
      <c r="EM7" s="9" t="s">
        <v>63</v>
      </c>
      <c r="EN7" s="9">
        <v>0</v>
      </c>
      <c r="EO7" s="9" t="s">
        <v>63</v>
      </c>
      <c r="EP7" s="9">
        <v>0</v>
      </c>
      <c r="EQ7" s="9" t="s">
        <v>195</v>
      </c>
      <c r="ER7" s="9">
        <v>0</v>
      </c>
      <c r="ES7" s="9" t="s">
        <v>140</v>
      </c>
      <c r="ET7" s="9">
        <v>0</v>
      </c>
      <c r="EU7" s="9" t="s">
        <v>93</v>
      </c>
      <c r="EV7" s="9">
        <v>0</v>
      </c>
      <c r="EW7" s="9" t="s">
        <v>141</v>
      </c>
      <c r="EX7" s="9">
        <v>0</v>
      </c>
      <c r="EY7" s="9" t="s">
        <v>62</v>
      </c>
      <c r="EZ7" s="9">
        <v>0</v>
      </c>
      <c r="FA7" s="9" t="s">
        <v>72</v>
      </c>
      <c r="FB7" s="9">
        <v>0</v>
      </c>
      <c r="FC7" s="9" t="s">
        <v>122</v>
      </c>
      <c r="FD7" s="9">
        <v>0</v>
      </c>
      <c r="FE7" s="9" t="s">
        <v>154</v>
      </c>
      <c r="FF7" s="9">
        <v>65.099999999999994</v>
      </c>
      <c r="FG7" s="9" t="s">
        <v>77</v>
      </c>
      <c r="FH7" s="9">
        <v>0</v>
      </c>
      <c r="FI7" s="9" t="s">
        <v>38</v>
      </c>
      <c r="FJ7" s="9">
        <v>0</v>
      </c>
      <c r="FK7" s="9" t="s">
        <v>90</v>
      </c>
      <c r="FL7" s="9">
        <v>0</v>
      </c>
      <c r="FM7" s="9" t="s">
        <v>139</v>
      </c>
      <c r="FN7" s="9">
        <v>0</v>
      </c>
      <c r="FO7" s="9" t="s">
        <v>165</v>
      </c>
      <c r="FP7" s="9">
        <v>799.06957920465936</v>
      </c>
      <c r="FQ7" s="9" t="s">
        <v>186</v>
      </c>
      <c r="FR7" s="9">
        <v>0</v>
      </c>
      <c r="FS7" s="9" t="s">
        <v>26</v>
      </c>
      <c r="FT7" s="9">
        <v>382.5</v>
      </c>
      <c r="FU7" s="9" t="s">
        <v>174</v>
      </c>
      <c r="FV7" s="9">
        <v>0</v>
      </c>
      <c r="FW7" s="9" t="s">
        <v>108</v>
      </c>
      <c r="FX7" s="9">
        <v>0</v>
      </c>
      <c r="FY7" s="9" t="s">
        <v>68</v>
      </c>
      <c r="FZ7" s="9">
        <v>250</v>
      </c>
      <c r="GA7" s="9" t="s">
        <v>47</v>
      </c>
      <c r="GB7" s="9">
        <v>389.96562161946986</v>
      </c>
      <c r="GC7" s="9" t="s">
        <v>93</v>
      </c>
      <c r="GD7" s="9">
        <v>0</v>
      </c>
      <c r="GE7" s="9" t="s">
        <v>87</v>
      </c>
      <c r="GF7" s="9">
        <v>0</v>
      </c>
      <c r="GG7" s="9" t="s">
        <v>99</v>
      </c>
      <c r="GH7" s="9">
        <v>0</v>
      </c>
      <c r="GI7" s="9" t="s">
        <v>75</v>
      </c>
      <c r="GJ7" s="9">
        <v>0</v>
      </c>
      <c r="GK7" s="9" t="s">
        <v>22</v>
      </c>
      <c r="GL7" s="9">
        <v>0</v>
      </c>
      <c r="GM7" s="9" t="s">
        <v>39</v>
      </c>
      <c r="GN7" s="9">
        <v>82</v>
      </c>
      <c r="GO7" s="9" t="s">
        <v>140</v>
      </c>
      <c r="GP7" s="9">
        <v>0</v>
      </c>
      <c r="GQ7" s="9" t="s">
        <v>136</v>
      </c>
      <c r="GR7" s="9">
        <v>413.4</v>
      </c>
      <c r="GS7" s="9" t="s">
        <v>144</v>
      </c>
      <c r="GT7" s="9">
        <v>0</v>
      </c>
      <c r="GU7" s="9" t="s">
        <v>68</v>
      </c>
      <c r="GV7" s="9">
        <v>250</v>
      </c>
      <c r="GW7" s="9" t="s">
        <v>136</v>
      </c>
      <c r="GX7" s="9">
        <v>413.4</v>
      </c>
      <c r="GY7" s="9" t="s">
        <v>120</v>
      </c>
      <c r="GZ7" s="9">
        <v>0</v>
      </c>
      <c r="HA7" s="9" t="s">
        <v>49</v>
      </c>
      <c r="HB7" s="9">
        <v>0</v>
      </c>
      <c r="HC7" s="9" t="s">
        <v>66</v>
      </c>
      <c r="HD7" s="9">
        <v>0</v>
      </c>
      <c r="HE7" s="9" t="s">
        <v>75</v>
      </c>
      <c r="HF7" s="9">
        <v>0</v>
      </c>
      <c r="HG7" s="9" t="s">
        <v>41</v>
      </c>
      <c r="HH7" s="9">
        <v>0</v>
      </c>
      <c r="HI7" s="9" t="s">
        <v>35</v>
      </c>
      <c r="HJ7" s="9">
        <v>0</v>
      </c>
      <c r="HK7" s="9" t="s">
        <v>18</v>
      </c>
      <c r="HL7" s="9">
        <v>0</v>
      </c>
      <c r="HM7" s="9" t="s">
        <v>30</v>
      </c>
      <c r="HN7" s="9">
        <v>196.8</v>
      </c>
      <c r="HO7" s="9" t="s">
        <v>42</v>
      </c>
      <c r="HP7" s="9">
        <v>0</v>
      </c>
      <c r="HQ7" s="9" t="s">
        <v>39</v>
      </c>
      <c r="HR7" s="9">
        <v>82</v>
      </c>
      <c r="HS7" s="9" t="s">
        <v>146</v>
      </c>
      <c r="HT7" s="9">
        <v>0</v>
      </c>
      <c r="HU7" s="9" t="s">
        <v>122</v>
      </c>
      <c r="HV7" s="9">
        <v>0</v>
      </c>
      <c r="HW7" s="9" t="s">
        <v>193</v>
      </c>
      <c r="HX7" s="9">
        <v>0</v>
      </c>
      <c r="HY7" s="9" t="s">
        <v>93</v>
      </c>
      <c r="HZ7" s="9">
        <v>0</v>
      </c>
      <c r="IA7" s="9" t="s">
        <v>170</v>
      </c>
      <c r="IB7" s="9">
        <v>0</v>
      </c>
      <c r="IC7" s="9" t="s">
        <v>190</v>
      </c>
      <c r="ID7" s="9">
        <v>0</v>
      </c>
      <c r="IE7" s="9" t="s">
        <v>187</v>
      </c>
      <c r="IF7" s="9">
        <v>0</v>
      </c>
      <c r="IG7" s="9" t="s">
        <v>79</v>
      </c>
      <c r="IH7" s="9">
        <v>0</v>
      </c>
      <c r="II7" s="9" t="s">
        <v>52</v>
      </c>
      <c r="IJ7" s="9">
        <v>0</v>
      </c>
      <c r="IK7" s="9" t="s">
        <v>25</v>
      </c>
      <c r="IL7" s="9">
        <v>0</v>
      </c>
      <c r="IM7" s="9" t="s">
        <v>76</v>
      </c>
      <c r="IN7" s="9">
        <v>0</v>
      </c>
      <c r="IO7" s="9" t="s">
        <v>69</v>
      </c>
      <c r="IP7" s="9">
        <v>0</v>
      </c>
      <c r="IQ7" s="9" t="s">
        <v>63</v>
      </c>
      <c r="IR7" s="9">
        <v>0</v>
      </c>
      <c r="IS7" s="9" t="s">
        <v>180</v>
      </c>
      <c r="IT7" s="9">
        <v>0</v>
      </c>
      <c r="IU7" s="9" t="s">
        <v>47</v>
      </c>
      <c r="IV7" s="9">
        <v>389.96562161946986</v>
      </c>
      <c r="IW7" s="9" t="s">
        <v>166</v>
      </c>
      <c r="IX7" s="9">
        <v>0</v>
      </c>
      <c r="IY7" s="9" t="s">
        <v>157</v>
      </c>
      <c r="IZ7" s="9">
        <v>0</v>
      </c>
      <c r="JA7" s="9" t="s">
        <v>106</v>
      </c>
      <c r="JB7" s="9">
        <v>0</v>
      </c>
      <c r="JC7" s="9" t="s">
        <v>139</v>
      </c>
      <c r="JD7" s="9">
        <v>0</v>
      </c>
      <c r="JE7" s="9" t="s">
        <v>38</v>
      </c>
      <c r="JF7" s="9">
        <v>0</v>
      </c>
      <c r="JG7" s="9" t="s">
        <v>106</v>
      </c>
      <c r="JH7" s="9">
        <v>0</v>
      </c>
      <c r="JI7" s="9" t="s">
        <v>80</v>
      </c>
      <c r="JJ7" s="9">
        <v>0</v>
      </c>
      <c r="JK7" s="9" t="s">
        <v>146</v>
      </c>
      <c r="JL7" s="9">
        <v>0</v>
      </c>
      <c r="JM7" s="9" t="s">
        <v>166</v>
      </c>
      <c r="JN7" s="9">
        <v>0</v>
      </c>
      <c r="JO7" s="9" t="s">
        <v>16</v>
      </c>
      <c r="JP7" s="9">
        <v>400.79999999999995</v>
      </c>
      <c r="JQ7" s="9" t="s">
        <v>190</v>
      </c>
      <c r="JR7" s="9">
        <v>0</v>
      </c>
      <c r="JS7" s="9" t="s">
        <v>150</v>
      </c>
      <c r="JT7" s="9">
        <v>0</v>
      </c>
      <c r="JU7" s="9" t="s">
        <v>67</v>
      </c>
      <c r="JV7" s="9">
        <v>0</v>
      </c>
      <c r="JW7" s="9" t="s">
        <v>66</v>
      </c>
      <c r="JX7" s="9">
        <v>0</v>
      </c>
      <c r="JY7" s="9" t="s">
        <v>70</v>
      </c>
      <c r="JZ7" s="9">
        <v>0</v>
      </c>
      <c r="KA7" s="9" t="s">
        <v>151</v>
      </c>
      <c r="KB7" s="9">
        <v>232.26615547082142</v>
      </c>
      <c r="KC7" s="9" t="s">
        <v>24</v>
      </c>
      <c r="KD7" s="9">
        <v>0</v>
      </c>
      <c r="KE7" s="9" t="s">
        <v>163</v>
      </c>
      <c r="KF7" s="9">
        <v>0</v>
      </c>
      <c r="KG7" s="9" t="e">
        <f ca="1">INDEX(#REF!,RANDBETWEEN(1,176))</f>
        <v>#REF!</v>
      </c>
      <c r="KH7" s="9" t="e">
        <f ca="1">VLOOKUP($A7,#REF!,4,0)</f>
        <v>#REF!</v>
      </c>
      <c r="KI7" s="9" t="e">
        <f ca="1">INDEX(#REF!,RANDBETWEEN(1,176))</f>
        <v>#REF!</v>
      </c>
      <c r="KJ7" s="9" t="e">
        <f ca="1">VLOOKUP($A7,#REF!,4,0)</f>
        <v>#REF!</v>
      </c>
      <c r="KK7" s="9" t="e">
        <f ca="1">INDEX(#REF!,RANDBETWEEN(1,176))</f>
        <v>#REF!</v>
      </c>
      <c r="KL7" s="9" t="e">
        <f ca="1">VLOOKUP($A7,#REF!,4,0)</f>
        <v>#REF!</v>
      </c>
      <c r="KM7" s="9" t="e">
        <f ca="1">INDEX(#REF!,RANDBETWEEN(1,176))</f>
        <v>#REF!</v>
      </c>
      <c r="KN7" s="9" t="e">
        <f ca="1">VLOOKUP($A7,#REF!,4,0)</f>
        <v>#REF!</v>
      </c>
      <c r="KO7" s="9" t="e">
        <f ca="1">INDEX(#REF!,RANDBETWEEN(1,176))</f>
        <v>#REF!</v>
      </c>
      <c r="KP7" s="9" t="e">
        <f ca="1">VLOOKUP($A7,#REF!,4,0)</f>
        <v>#REF!</v>
      </c>
      <c r="KQ7" s="9" t="e">
        <f ca="1">INDEX(#REF!,RANDBETWEEN(1,176))</f>
        <v>#REF!</v>
      </c>
      <c r="KR7" s="9" t="e">
        <f ca="1">VLOOKUP($A7,#REF!,4,0)</f>
        <v>#REF!</v>
      </c>
      <c r="KS7" s="9" t="s">
        <v>24</v>
      </c>
      <c r="KT7" s="9">
        <v>0</v>
      </c>
      <c r="KU7" s="9" t="s">
        <v>192</v>
      </c>
      <c r="KV7" s="9">
        <v>0</v>
      </c>
      <c r="KW7" s="9" t="s">
        <v>38</v>
      </c>
      <c r="KX7" s="9">
        <v>0</v>
      </c>
      <c r="KY7" s="9" t="s">
        <v>195</v>
      </c>
      <c r="KZ7" s="9">
        <v>0</v>
      </c>
      <c r="LA7" s="9" t="s">
        <v>168</v>
      </c>
      <c r="LB7" s="9">
        <v>0</v>
      </c>
      <c r="LC7" s="9" t="s">
        <v>161</v>
      </c>
      <c r="LD7" s="9">
        <v>0</v>
      </c>
      <c r="LE7" s="9" t="s">
        <v>37</v>
      </c>
      <c r="LF7" s="9">
        <v>31.6</v>
      </c>
      <c r="LG7" s="9" t="s">
        <v>45</v>
      </c>
      <c r="LH7" s="9">
        <v>549.59321095902715</v>
      </c>
      <c r="LI7" s="9" t="s">
        <v>69</v>
      </c>
      <c r="LJ7" s="9">
        <v>0</v>
      </c>
      <c r="LK7" s="9" t="s">
        <v>67</v>
      </c>
      <c r="LL7" s="9">
        <v>0</v>
      </c>
      <c r="LM7" s="9" t="s">
        <v>66</v>
      </c>
      <c r="LN7" s="9">
        <v>0</v>
      </c>
      <c r="LO7" s="9" t="s">
        <v>39</v>
      </c>
      <c r="LP7" s="9">
        <v>82</v>
      </c>
      <c r="LQ7" s="9" t="s">
        <v>184</v>
      </c>
      <c r="LR7" s="9">
        <v>0</v>
      </c>
      <c r="LS7" s="9" t="s">
        <v>77</v>
      </c>
      <c r="LT7" s="9">
        <v>0</v>
      </c>
      <c r="LU7" s="9" t="s">
        <v>55</v>
      </c>
      <c r="LV7" s="9">
        <v>0</v>
      </c>
      <c r="LW7" s="9" t="s">
        <v>76</v>
      </c>
      <c r="LX7" s="9">
        <v>0</v>
      </c>
      <c r="LY7" s="9" t="s">
        <v>181</v>
      </c>
      <c r="LZ7" s="9">
        <v>0</v>
      </c>
      <c r="MA7" s="9" t="s">
        <v>54</v>
      </c>
      <c r="MB7" s="9">
        <v>27.2</v>
      </c>
      <c r="MC7" s="9" t="s">
        <v>21</v>
      </c>
      <c r="MD7" s="9">
        <v>0</v>
      </c>
      <c r="ME7" s="9" t="s">
        <v>122</v>
      </c>
      <c r="MF7" s="9">
        <v>0</v>
      </c>
      <c r="MG7" s="9" t="s">
        <v>67</v>
      </c>
      <c r="MH7" s="9">
        <v>0</v>
      </c>
      <c r="MI7" s="9" t="s">
        <v>66</v>
      </c>
      <c r="MJ7" s="9">
        <v>0</v>
      </c>
      <c r="MK7" s="9" t="s">
        <v>14</v>
      </c>
      <c r="ML7" s="9">
        <v>0</v>
      </c>
      <c r="MM7" s="9" t="s">
        <v>85</v>
      </c>
      <c r="MN7" s="9">
        <v>0</v>
      </c>
      <c r="MO7" s="9" t="s">
        <v>200</v>
      </c>
      <c r="MP7" s="9">
        <v>0</v>
      </c>
      <c r="MQ7" s="9" t="s">
        <v>29</v>
      </c>
      <c r="MR7" s="9">
        <v>0</v>
      </c>
      <c r="MS7" s="9" t="s">
        <v>157</v>
      </c>
      <c r="MT7" s="9">
        <v>0</v>
      </c>
      <c r="MU7" s="9" t="s">
        <v>161</v>
      </c>
      <c r="MV7" s="9">
        <v>0</v>
      </c>
      <c r="MW7" s="9" t="s">
        <v>28</v>
      </c>
      <c r="MX7" s="9">
        <v>618.79999999999995</v>
      </c>
      <c r="MY7" s="9" t="s">
        <v>148</v>
      </c>
      <c r="MZ7" s="9">
        <v>0</v>
      </c>
      <c r="NA7" s="9" t="s">
        <v>127</v>
      </c>
      <c r="NB7" s="9">
        <v>0</v>
      </c>
      <c r="NC7" s="9" t="s">
        <v>186</v>
      </c>
      <c r="ND7" s="9">
        <v>0</v>
      </c>
      <c r="NE7" s="9" t="s">
        <v>185</v>
      </c>
      <c r="NF7" s="9">
        <v>0</v>
      </c>
      <c r="NG7" s="9" t="s">
        <v>86</v>
      </c>
      <c r="NH7" s="9">
        <v>0</v>
      </c>
      <c r="NI7" s="9" t="s">
        <v>199</v>
      </c>
      <c r="NJ7" s="9">
        <v>0</v>
      </c>
      <c r="NK7" s="9" t="s">
        <v>44</v>
      </c>
      <c r="NL7" s="9">
        <v>0</v>
      </c>
      <c r="NM7" s="9" t="s">
        <v>44</v>
      </c>
      <c r="NN7" s="9">
        <v>0</v>
      </c>
      <c r="NO7" s="9" t="s">
        <v>78</v>
      </c>
      <c r="NP7" s="9">
        <v>0</v>
      </c>
      <c r="NQ7" s="9" t="s">
        <v>136</v>
      </c>
      <c r="NR7" s="9">
        <v>413.4</v>
      </c>
      <c r="NS7" s="9" t="s">
        <v>129</v>
      </c>
      <c r="NT7" s="9">
        <v>0</v>
      </c>
      <c r="NU7" s="9" t="s">
        <v>177</v>
      </c>
      <c r="NV7" s="9">
        <v>0</v>
      </c>
      <c r="NW7" s="9" t="s">
        <v>178</v>
      </c>
      <c r="NX7" s="9">
        <v>0</v>
      </c>
      <c r="NY7" s="9" t="s">
        <v>64</v>
      </c>
      <c r="NZ7" s="9">
        <v>0</v>
      </c>
      <c r="OA7" s="9" t="s">
        <v>100</v>
      </c>
      <c r="OB7" s="9">
        <v>0</v>
      </c>
      <c r="OC7" s="9" t="s">
        <v>46</v>
      </c>
      <c r="OD7" s="9">
        <v>0</v>
      </c>
      <c r="OE7" s="9" t="s">
        <v>66</v>
      </c>
      <c r="OF7" s="9">
        <v>0</v>
      </c>
      <c r="OG7" s="9" t="s">
        <v>54</v>
      </c>
      <c r="OH7" s="9">
        <v>27.2</v>
      </c>
      <c r="OI7" s="9" t="s">
        <v>86</v>
      </c>
      <c r="OJ7" s="9">
        <v>0</v>
      </c>
      <c r="OK7" s="9" t="s">
        <v>44</v>
      </c>
      <c r="OL7" s="9">
        <v>0</v>
      </c>
      <c r="OM7" s="9" t="s">
        <v>71</v>
      </c>
      <c r="ON7" s="9">
        <v>0</v>
      </c>
      <c r="OO7" s="9" t="s">
        <v>156</v>
      </c>
      <c r="OP7" s="9">
        <v>829.10021856815433</v>
      </c>
      <c r="OQ7" s="9" t="s">
        <v>17</v>
      </c>
      <c r="OR7" s="9">
        <v>148.79999999999998</v>
      </c>
      <c r="OS7" s="9" t="s">
        <v>84</v>
      </c>
      <c r="OT7" s="9">
        <v>0</v>
      </c>
      <c r="OU7" s="9" t="s">
        <v>171</v>
      </c>
      <c r="OV7" s="9">
        <v>0</v>
      </c>
      <c r="OW7" s="9" t="s">
        <v>171</v>
      </c>
      <c r="OX7" s="9">
        <v>0</v>
      </c>
      <c r="OY7" s="9" t="s">
        <v>64</v>
      </c>
      <c r="OZ7" s="9">
        <v>0</v>
      </c>
      <c r="PA7" s="9" t="s">
        <v>22</v>
      </c>
      <c r="PB7" s="9">
        <v>0</v>
      </c>
      <c r="PC7" s="9" t="s">
        <v>54</v>
      </c>
      <c r="PD7" s="9">
        <v>27.2</v>
      </c>
      <c r="PE7" s="9" t="s">
        <v>59</v>
      </c>
      <c r="PF7" s="9">
        <v>0</v>
      </c>
      <c r="PG7" s="9" t="s">
        <v>105</v>
      </c>
      <c r="PH7" s="9">
        <v>0</v>
      </c>
      <c r="PI7" s="9" t="s">
        <v>183</v>
      </c>
      <c r="PJ7" s="9">
        <v>0</v>
      </c>
      <c r="PK7" s="9" t="s">
        <v>14</v>
      </c>
      <c r="PL7" s="9">
        <v>0</v>
      </c>
      <c r="PM7" s="9" t="s">
        <v>165</v>
      </c>
      <c r="PN7" s="9">
        <v>799.06957920465936</v>
      </c>
      <c r="PO7" s="9" t="s">
        <v>51</v>
      </c>
      <c r="PP7" s="9">
        <v>0</v>
      </c>
      <c r="PQ7" s="9" t="s">
        <v>156</v>
      </c>
      <c r="PR7" s="9">
        <v>829.10021856815433</v>
      </c>
      <c r="PS7" s="9" t="s">
        <v>137</v>
      </c>
      <c r="PT7" s="9">
        <v>0</v>
      </c>
      <c r="PU7" s="9" t="s">
        <v>98</v>
      </c>
      <c r="PV7" s="9">
        <v>0</v>
      </c>
      <c r="PW7" s="9" t="s">
        <v>66</v>
      </c>
      <c r="PX7" s="9">
        <v>0</v>
      </c>
      <c r="PY7" s="9" t="s">
        <v>72</v>
      </c>
      <c r="PZ7" s="9">
        <v>0</v>
      </c>
      <c r="QA7" s="9" t="s">
        <v>28</v>
      </c>
      <c r="QB7" s="9">
        <v>618.79999999999995</v>
      </c>
      <c r="QC7" s="9" t="s">
        <v>106</v>
      </c>
      <c r="QD7" s="9">
        <v>0</v>
      </c>
      <c r="QE7" s="9" t="s">
        <v>61</v>
      </c>
      <c r="QF7" s="9">
        <v>375.9131934216299</v>
      </c>
      <c r="QG7" s="9" t="s">
        <v>161</v>
      </c>
      <c r="QH7" s="9">
        <v>0</v>
      </c>
      <c r="QI7" s="9" t="s">
        <v>194</v>
      </c>
      <c r="QJ7" s="9">
        <v>0</v>
      </c>
      <c r="QK7" s="9" t="s">
        <v>101</v>
      </c>
      <c r="QL7" s="9">
        <v>625</v>
      </c>
      <c r="QM7" s="9" t="s">
        <v>54</v>
      </c>
      <c r="QN7" s="9">
        <v>27.2</v>
      </c>
      <c r="QO7" s="9" t="s">
        <v>79</v>
      </c>
      <c r="QP7" s="9">
        <v>0</v>
      </c>
      <c r="QQ7" s="9" t="s">
        <v>45</v>
      </c>
      <c r="QR7" s="9">
        <v>549.59321095902715</v>
      </c>
      <c r="QS7" s="9" t="s">
        <v>83</v>
      </c>
      <c r="QT7" s="9">
        <v>0</v>
      </c>
      <c r="QU7" s="9" t="s">
        <v>106</v>
      </c>
      <c r="QV7" s="9">
        <v>0</v>
      </c>
      <c r="QW7" s="9" t="s">
        <v>125</v>
      </c>
      <c r="QX7" s="9">
        <v>289.60000000000002</v>
      </c>
      <c r="QY7" s="9" t="s">
        <v>179</v>
      </c>
      <c r="QZ7" s="9">
        <v>0</v>
      </c>
      <c r="RA7" s="9" t="s">
        <v>195</v>
      </c>
      <c r="RB7" s="9">
        <v>0</v>
      </c>
      <c r="RC7" s="9" t="s">
        <v>173</v>
      </c>
      <c r="RD7" s="9">
        <v>0</v>
      </c>
      <c r="RE7" s="9" t="s">
        <v>177</v>
      </c>
      <c r="RF7" s="9">
        <v>0</v>
      </c>
      <c r="RG7" s="9" t="s">
        <v>151</v>
      </c>
      <c r="RH7" s="9">
        <v>232.26615547082142</v>
      </c>
      <c r="RI7" s="9" t="s">
        <v>102</v>
      </c>
      <c r="RJ7" s="9">
        <v>0</v>
      </c>
      <c r="RK7" s="9" t="s">
        <v>101</v>
      </c>
      <c r="RL7" s="9">
        <v>625</v>
      </c>
      <c r="RM7" s="9" t="s">
        <v>157</v>
      </c>
      <c r="RN7" s="9">
        <v>0</v>
      </c>
      <c r="RO7" s="9" t="s">
        <v>132</v>
      </c>
      <c r="RP7" s="9">
        <v>0</v>
      </c>
      <c r="RQ7" s="9" t="s">
        <v>33</v>
      </c>
      <c r="RR7" s="9">
        <v>20.100000000000001</v>
      </c>
      <c r="RS7" s="9" t="s">
        <v>134</v>
      </c>
      <c r="RT7" s="9">
        <v>1635.2921194660546</v>
      </c>
      <c r="RU7" s="9" t="s">
        <v>144</v>
      </c>
      <c r="RV7" s="9">
        <v>0</v>
      </c>
      <c r="RW7" s="9" t="s">
        <v>105</v>
      </c>
      <c r="RX7" s="9">
        <v>0</v>
      </c>
      <c r="RY7" s="9" t="s">
        <v>103</v>
      </c>
      <c r="RZ7" s="9">
        <v>436.07789852428124</v>
      </c>
      <c r="SA7" s="9" t="s">
        <v>131</v>
      </c>
      <c r="SB7" s="9">
        <v>0</v>
      </c>
      <c r="SC7" s="9" t="s">
        <v>148</v>
      </c>
      <c r="SD7" s="9">
        <v>0</v>
      </c>
      <c r="SE7" s="9" t="s">
        <v>62</v>
      </c>
      <c r="SF7" s="9">
        <v>0</v>
      </c>
      <c r="SG7" s="9" t="s">
        <v>161</v>
      </c>
      <c r="SH7" s="9">
        <v>0</v>
      </c>
      <c r="SI7" s="9" t="s">
        <v>166</v>
      </c>
      <c r="SJ7" s="9">
        <v>0</v>
      </c>
    </row>
    <row r="8" spans="1:504" x14ac:dyDescent="0.25">
      <c r="A8" s="9" t="e">
        <f ca="1">INDEX(#REF!,RANDBETWEEN(1,176))</f>
        <v>#REF!</v>
      </c>
      <c r="B8" s="9" t="e">
        <f ca="1">VLOOKUP($A8,#REF!,4,0)</f>
        <v>#REF!</v>
      </c>
      <c r="D8" s="14" t="e">
        <f ca="1">$A$8</f>
        <v>#REF!</v>
      </c>
      <c r="E8" s="9" t="e">
        <f ca="1">VLOOKUP($D8,#REF!,4,0)</f>
        <v>#REF!</v>
      </c>
      <c r="G8" s="9" t="s">
        <v>142</v>
      </c>
      <c r="H8" s="9">
        <v>0</v>
      </c>
      <c r="I8" s="9" t="s">
        <v>156</v>
      </c>
      <c r="J8" s="9">
        <v>829.10021856815433</v>
      </c>
      <c r="K8" s="9" t="s">
        <v>164</v>
      </c>
      <c r="L8" s="9">
        <v>0</v>
      </c>
      <c r="M8" s="9" t="s">
        <v>25</v>
      </c>
      <c r="N8" s="9">
        <v>0</v>
      </c>
      <c r="O8" s="9" t="s">
        <v>41</v>
      </c>
      <c r="P8" s="9">
        <v>0</v>
      </c>
      <c r="Q8" s="9" t="s">
        <v>70</v>
      </c>
      <c r="R8" s="9">
        <v>0</v>
      </c>
      <c r="S8" s="9" t="s">
        <v>132</v>
      </c>
      <c r="T8" s="9">
        <v>0</v>
      </c>
      <c r="U8" s="9" t="s">
        <v>36</v>
      </c>
      <c r="V8" s="9">
        <v>0</v>
      </c>
      <c r="W8" s="9" t="s">
        <v>137</v>
      </c>
      <c r="X8" s="9">
        <v>0</v>
      </c>
      <c r="Y8" s="9" t="s">
        <v>59</v>
      </c>
      <c r="Z8" s="9">
        <v>0</v>
      </c>
      <c r="AA8" s="9" t="s">
        <v>132</v>
      </c>
      <c r="AB8" s="9">
        <v>0</v>
      </c>
      <c r="AC8" s="9" t="s">
        <v>156</v>
      </c>
      <c r="AD8" s="9">
        <v>829.10021856815433</v>
      </c>
      <c r="AE8" s="9" t="s">
        <v>32</v>
      </c>
      <c r="AF8" s="9">
        <v>0</v>
      </c>
      <c r="AG8" s="9" t="s">
        <v>30</v>
      </c>
      <c r="AH8" s="9">
        <v>196.8</v>
      </c>
      <c r="AI8" s="9" t="s">
        <v>187</v>
      </c>
      <c r="AJ8" s="9">
        <v>0</v>
      </c>
      <c r="AK8" s="9" t="s">
        <v>95</v>
      </c>
      <c r="AL8" s="9">
        <v>0</v>
      </c>
      <c r="AM8" s="9" t="s">
        <v>122</v>
      </c>
      <c r="AN8" s="9">
        <v>0</v>
      </c>
      <c r="AO8" s="9" t="s">
        <v>80</v>
      </c>
      <c r="AP8" s="9">
        <v>0</v>
      </c>
      <c r="AQ8" s="9" t="s">
        <v>95</v>
      </c>
      <c r="AR8" s="9">
        <v>0</v>
      </c>
      <c r="AS8" s="9" t="s">
        <v>59</v>
      </c>
      <c r="AT8" s="9">
        <v>0</v>
      </c>
      <c r="AU8" s="9" t="s">
        <v>136</v>
      </c>
      <c r="AV8" s="9">
        <v>413.4</v>
      </c>
      <c r="AW8" s="9" t="s">
        <v>187</v>
      </c>
      <c r="AX8" s="9">
        <v>0</v>
      </c>
      <c r="AY8" s="9" t="s">
        <v>141</v>
      </c>
      <c r="AZ8" s="9">
        <v>0</v>
      </c>
      <c r="BA8" s="9" t="s">
        <v>68</v>
      </c>
      <c r="BB8" s="9">
        <v>250</v>
      </c>
      <c r="BC8" s="9" t="s">
        <v>181</v>
      </c>
      <c r="BD8" s="9">
        <v>0</v>
      </c>
      <c r="BE8" s="9" t="s">
        <v>39</v>
      </c>
      <c r="BF8" s="9">
        <v>82</v>
      </c>
      <c r="BG8" s="9" t="s">
        <v>140</v>
      </c>
      <c r="BH8" s="9">
        <v>0</v>
      </c>
      <c r="BI8" s="9" t="s">
        <v>181</v>
      </c>
      <c r="BJ8" s="9">
        <v>0</v>
      </c>
      <c r="BK8" s="9" t="s">
        <v>64</v>
      </c>
      <c r="BL8" s="9">
        <v>0</v>
      </c>
      <c r="BM8" s="9" t="s">
        <v>124</v>
      </c>
      <c r="BN8" s="9">
        <v>0</v>
      </c>
      <c r="BO8" s="9" t="s">
        <v>100</v>
      </c>
      <c r="BP8" s="9">
        <v>0</v>
      </c>
      <c r="BQ8" s="9" t="s">
        <v>171</v>
      </c>
      <c r="BR8" s="9">
        <v>0</v>
      </c>
      <c r="BS8" s="9" t="s">
        <v>190</v>
      </c>
      <c r="BT8" s="9">
        <v>0</v>
      </c>
      <c r="BU8" s="9" t="s">
        <v>172</v>
      </c>
      <c r="BV8" s="9">
        <v>0</v>
      </c>
      <c r="BW8" s="9" t="s">
        <v>141</v>
      </c>
      <c r="BX8" s="9">
        <v>0</v>
      </c>
      <c r="BY8" s="9" t="s">
        <v>200</v>
      </c>
      <c r="BZ8" s="9">
        <v>0</v>
      </c>
      <c r="CA8" s="9" t="s">
        <v>44</v>
      </c>
      <c r="CB8" s="9">
        <v>0</v>
      </c>
      <c r="CC8" s="9" t="s">
        <v>108</v>
      </c>
      <c r="CD8" s="9">
        <v>0</v>
      </c>
      <c r="CE8" s="9" t="s">
        <v>15</v>
      </c>
      <c r="CF8" s="9">
        <v>0</v>
      </c>
      <c r="CG8" s="9" t="s">
        <v>100</v>
      </c>
      <c r="CH8" s="9">
        <v>0</v>
      </c>
      <c r="CI8" s="9" t="s">
        <v>139</v>
      </c>
      <c r="CJ8" s="9">
        <v>0</v>
      </c>
      <c r="CK8" s="9" t="s">
        <v>101</v>
      </c>
      <c r="CL8" s="9">
        <v>625</v>
      </c>
      <c r="CM8" s="9" t="s">
        <v>75</v>
      </c>
      <c r="CN8" s="9">
        <v>0</v>
      </c>
      <c r="CO8" s="9" t="s">
        <v>17</v>
      </c>
      <c r="CP8" s="9">
        <v>148.79999999999998</v>
      </c>
      <c r="CQ8" s="9" t="s">
        <v>22</v>
      </c>
      <c r="CR8" s="9">
        <v>0</v>
      </c>
      <c r="CS8" s="9" t="s">
        <v>166</v>
      </c>
      <c r="CT8" s="9">
        <v>0</v>
      </c>
      <c r="CU8" s="9" t="s">
        <v>39</v>
      </c>
      <c r="CV8" s="9">
        <v>82</v>
      </c>
      <c r="CW8" s="9" t="s">
        <v>173</v>
      </c>
      <c r="CX8" s="9">
        <v>0</v>
      </c>
      <c r="CY8" s="9" t="s">
        <v>143</v>
      </c>
      <c r="CZ8" s="9">
        <v>0</v>
      </c>
      <c r="DA8" s="9" t="s">
        <v>23</v>
      </c>
      <c r="DB8" s="9">
        <v>680.40000000000009</v>
      </c>
      <c r="DC8" s="9" t="s">
        <v>133</v>
      </c>
      <c r="DD8" s="9">
        <v>0</v>
      </c>
      <c r="DE8" s="9" t="s">
        <v>172</v>
      </c>
      <c r="DF8" s="9">
        <v>0</v>
      </c>
      <c r="DG8" s="9" t="s">
        <v>77</v>
      </c>
      <c r="DH8" s="9">
        <v>0</v>
      </c>
      <c r="DI8" s="9" t="s">
        <v>42</v>
      </c>
      <c r="DJ8" s="9">
        <v>0</v>
      </c>
      <c r="DK8" s="9" t="s">
        <v>16</v>
      </c>
      <c r="DL8" s="9">
        <v>400.79999999999995</v>
      </c>
      <c r="DM8" s="9" t="s">
        <v>82</v>
      </c>
      <c r="DN8" s="9">
        <v>0</v>
      </c>
      <c r="DO8" s="9" t="s">
        <v>43</v>
      </c>
      <c r="DP8" s="9">
        <v>929.06462188328567</v>
      </c>
      <c r="DQ8" s="9" t="s">
        <v>99</v>
      </c>
      <c r="DR8" s="9">
        <v>0</v>
      </c>
      <c r="DS8" s="9" t="s">
        <v>88</v>
      </c>
      <c r="DT8" s="9">
        <v>0</v>
      </c>
      <c r="DU8" s="9" t="s">
        <v>161</v>
      </c>
      <c r="DV8" s="9">
        <v>0</v>
      </c>
      <c r="DW8" s="9" t="s">
        <v>181</v>
      </c>
      <c r="DX8" s="9">
        <v>0</v>
      </c>
      <c r="DY8" s="9" t="s">
        <v>71</v>
      </c>
      <c r="DZ8" s="9">
        <v>0</v>
      </c>
      <c r="EA8" s="9" t="s">
        <v>69</v>
      </c>
      <c r="EB8" s="9">
        <v>0</v>
      </c>
      <c r="EC8" s="9" t="s">
        <v>31</v>
      </c>
      <c r="ED8" s="9">
        <v>200</v>
      </c>
      <c r="EE8" s="9" t="s">
        <v>122</v>
      </c>
      <c r="EF8" s="9">
        <v>0</v>
      </c>
      <c r="EG8" s="9" t="s">
        <v>84</v>
      </c>
      <c r="EH8" s="9">
        <v>0</v>
      </c>
      <c r="EI8" s="9" t="s">
        <v>199</v>
      </c>
      <c r="EJ8" s="9">
        <v>0</v>
      </c>
      <c r="EK8" s="9" t="s">
        <v>100</v>
      </c>
      <c r="EL8" s="9">
        <v>0</v>
      </c>
      <c r="EM8" s="9" t="s">
        <v>22</v>
      </c>
      <c r="EN8" s="9">
        <v>0</v>
      </c>
      <c r="EO8" s="9" t="s">
        <v>104</v>
      </c>
      <c r="EP8" s="9">
        <v>0</v>
      </c>
      <c r="EQ8" s="9" t="s">
        <v>105</v>
      </c>
      <c r="ER8" s="9">
        <v>0</v>
      </c>
      <c r="ES8" s="9" t="s">
        <v>140</v>
      </c>
      <c r="ET8" s="9">
        <v>0</v>
      </c>
      <c r="EU8" s="9" t="s">
        <v>65</v>
      </c>
      <c r="EV8" s="9">
        <v>0</v>
      </c>
      <c r="EW8" s="9" t="s">
        <v>127</v>
      </c>
      <c r="EX8" s="9">
        <v>0</v>
      </c>
      <c r="EY8" s="9" t="s">
        <v>164</v>
      </c>
      <c r="EZ8" s="9">
        <v>0</v>
      </c>
      <c r="FA8" s="9" t="s">
        <v>59</v>
      </c>
      <c r="FB8" s="9">
        <v>0</v>
      </c>
      <c r="FC8" s="9" t="s">
        <v>129</v>
      </c>
      <c r="FD8" s="9">
        <v>0</v>
      </c>
      <c r="FE8" s="9" t="s">
        <v>99</v>
      </c>
      <c r="FF8" s="9">
        <v>0</v>
      </c>
      <c r="FG8" s="9" t="s">
        <v>121</v>
      </c>
      <c r="FH8" s="9">
        <v>0</v>
      </c>
      <c r="FI8" s="9" t="s">
        <v>84</v>
      </c>
      <c r="FJ8" s="9">
        <v>0</v>
      </c>
      <c r="FK8" s="9" t="s">
        <v>26</v>
      </c>
      <c r="FL8" s="9">
        <v>382.5</v>
      </c>
      <c r="FM8" s="9" t="s">
        <v>137</v>
      </c>
      <c r="FN8" s="9">
        <v>0</v>
      </c>
      <c r="FO8" s="9" t="s">
        <v>143</v>
      </c>
      <c r="FP8" s="9">
        <v>0</v>
      </c>
      <c r="FQ8" s="9" t="s">
        <v>187</v>
      </c>
      <c r="FR8" s="9">
        <v>0</v>
      </c>
      <c r="FS8" s="9" t="s">
        <v>163</v>
      </c>
      <c r="FT8" s="9">
        <v>0</v>
      </c>
      <c r="FU8" s="9" t="s">
        <v>72</v>
      </c>
      <c r="FV8" s="9">
        <v>0</v>
      </c>
      <c r="FW8" s="9" t="s">
        <v>18</v>
      </c>
      <c r="FX8" s="9">
        <v>0</v>
      </c>
      <c r="FY8" s="9" t="s">
        <v>127</v>
      </c>
      <c r="FZ8" s="9">
        <v>0</v>
      </c>
      <c r="GA8" s="9" t="s">
        <v>29</v>
      </c>
      <c r="GB8" s="9">
        <v>0</v>
      </c>
      <c r="GC8" s="9" t="s">
        <v>90</v>
      </c>
      <c r="GD8" s="9">
        <v>0</v>
      </c>
      <c r="GE8" s="9" t="s">
        <v>130</v>
      </c>
      <c r="GF8" s="9">
        <v>0</v>
      </c>
      <c r="GG8" s="9" t="s">
        <v>51</v>
      </c>
      <c r="GH8" s="9">
        <v>0</v>
      </c>
      <c r="GI8" s="9" t="s">
        <v>200</v>
      </c>
      <c r="GJ8" s="9">
        <v>0</v>
      </c>
      <c r="GK8" s="9" t="s">
        <v>85</v>
      </c>
      <c r="GL8" s="9">
        <v>0</v>
      </c>
      <c r="GM8" s="9" t="s">
        <v>36</v>
      </c>
      <c r="GN8" s="9">
        <v>0</v>
      </c>
      <c r="GO8" s="9" t="s">
        <v>189</v>
      </c>
      <c r="GP8" s="9">
        <v>0</v>
      </c>
      <c r="GQ8" s="9" t="s">
        <v>109</v>
      </c>
      <c r="GR8" s="9">
        <v>0</v>
      </c>
      <c r="GS8" s="9" t="s">
        <v>21</v>
      </c>
      <c r="GT8" s="9">
        <v>0</v>
      </c>
      <c r="GU8" s="9" t="s">
        <v>81</v>
      </c>
      <c r="GV8" s="9">
        <v>0</v>
      </c>
      <c r="GW8" s="9" t="s">
        <v>71</v>
      </c>
      <c r="GX8" s="9">
        <v>0</v>
      </c>
      <c r="GY8" s="9" t="s">
        <v>124</v>
      </c>
      <c r="GZ8" s="9">
        <v>0</v>
      </c>
      <c r="HA8" s="9" t="s">
        <v>172</v>
      </c>
      <c r="HB8" s="9">
        <v>0</v>
      </c>
      <c r="HC8" s="9" t="s">
        <v>178</v>
      </c>
      <c r="HD8" s="9">
        <v>0</v>
      </c>
      <c r="HE8" s="9" t="s">
        <v>28</v>
      </c>
      <c r="HF8" s="9">
        <v>618.79999999999995</v>
      </c>
      <c r="HG8" s="9" t="s">
        <v>74</v>
      </c>
      <c r="HH8" s="9">
        <v>0</v>
      </c>
      <c r="HI8" s="9" t="s">
        <v>86</v>
      </c>
      <c r="HJ8" s="9">
        <v>0</v>
      </c>
      <c r="HK8" s="9" t="s">
        <v>44</v>
      </c>
      <c r="HL8" s="9">
        <v>0</v>
      </c>
      <c r="HM8" s="9" t="s">
        <v>104</v>
      </c>
      <c r="HN8" s="9">
        <v>0</v>
      </c>
      <c r="HO8" s="9" t="s">
        <v>154</v>
      </c>
      <c r="HP8" s="9">
        <v>65.099999999999994</v>
      </c>
      <c r="HQ8" s="9" t="s">
        <v>179</v>
      </c>
      <c r="HR8" s="9">
        <v>0</v>
      </c>
      <c r="HS8" s="9" t="s">
        <v>193</v>
      </c>
      <c r="HT8" s="9">
        <v>0</v>
      </c>
      <c r="HU8" s="9" t="s">
        <v>81</v>
      </c>
      <c r="HV8" s="9">
        <v>0</v>
      </c>
      <c r="HW8" s="9" t="s">
        <v>180</v>
      </c>
      <c r="HX8" s="9">
        <v>0</v>
      </c>
      <c r="HY8" s="9" t="s">
        <v>44</v>
      </c>
      <c r="HZ8" s="9">
        <v>0</v>
      </c>
      <c r="IA8" s="9" t="s">
        <v>82</v>
      </c>
      <c r="IB8" s="9">
        <v>0</v>
      </c>
      <c r="IC8" s="9" t="s">
        <v>43</v>
      </c>
      <c r="ID8" s="9">
        <v>929.06462188328567</v>
      </c>
      <c r="IE8" s="9" t="s">
        <v>60</v>
      </c>
      <c r="IF8" s="9">
        <v>0</v>
      </c>
      <c r="IG8" s="9" t="s">
        <v>69</v>
      </c>
      <c r="IH8" s="9">
        <v>0</v>
      </c>
      <c r="II8" s="9" t="s">
        <v>73</v>
      </c>
      <c r="IJ8" s="9">
        <v>0</v>
      </c>
      <c r="IK8" s="9" t="s">
        <v>126</v>
      </c>
      <c r="IL8" s="9">
        <v>512.5</v>
      </c>
      <c r="IM8" s="9" t="s">
        <v>184</v>
      </c>
      <c r="IN8" s="9">
        <v>0</v>
      </c>
      <c r="IO8" s="9" t="s">
        <v>61</v>
      </c>
      <c r="IP8" s="9">
        <v>375.9131934216299</v>
      </c>
      <c r="IQ8" s="9" t="s">
        <v>183</v>
      </c>
      <c r="IR8" s="9">
        <v>0</v>
      </c>
      <c r="IS8" s="9" t="s">
        <v>172</v>
      </c>
      <c r="IT8" s="9">
        <v>0</v>
      </c>
      <c r="IU8" s="9" t="s">
        <v>180</v>
      </c>
      <c r="IV8" s="9">
        <v>0</v>
      </c>
      <c r="IW8" s="9" t="s">
        <v>68</v>
      </c>
      <c r="IX8" s="9">
        <v>250</v>
      </c>
      <c r="IY8" s="9" t="s">
        <v>46</v>
      </c>
      <c r="IZ8" s="9">
        <v>0</v>
      </c>
      <c r="JA8" s="9" t="s">
        <v>143</v>
      </c>
      <c r="JB8" s="9">
        <v>0</v>
      </c>
      <c r="JC8" s="9" t="s">
        <v>198</v>
      </c>
      <c r="JD8" s="9">
        <v>0</v>
      </c>
      <c r="JE8" s="9" t="s">
        <v>152</v>
      </c>
      <c r="JF8" s="9">
        <v>449.4</v>
      </c>
      <c r="JG8" s="9" t="s">
        <v>194</v>
      </c>
      <c r="JH8" s="9">
        <v>0</v>
      </c>
      <c r="JI8" s="9" t="s">
        <v>74</v>
      </c>
      <c r="JJ8" s="9">
        <v>0</v>
      </c>
      <c r="JK8" s="9" t="s">
        <v>154</v>
      </c>
      <c r="JL8" s="9">
        <v>65.099999999999994</v>
      </c>
      <c r="JM8" s="9" t="s">
        <v>133</v>
      </c>
      <c r="JN8" s="9">
        <v>0</v>
      </c>
      <c r="JO8" s="9" t="s">
        <v>149</v>
      </c>
      <c r="JP8" s="9">
        <v>851.64257005967852</v>
      </c>
      <c r="JQ8" s="9" t="s">
        <v>135</v>
      </c>
      <c r="JR8" s="9">
        <v>0</v>
      </c>
      <c r="JS8" s="9" t="s">
        <v>46</v>
      </c>
      <c r="JT8" s="9">
        <v>0</v>
      </c>
      <c r="JU8" s="9" t="s">
        <v>31</v>
      </c>
      <c r="JV8" s="9">
        <v>200</v>
      </c>
      <c r="JW8" s="9" t="s">
        <v>122</v>
      </c>
      <c r="JX8" s="9">
        <v>0</v>
      </c>
      <c r="JY8" s="9" t="s">
        <v>44</v>
      </c>
      <c r="JZ8" s="9">
        <v>0</v>
      </c>
      <c r="KA8" s="9" t="s">
        <v>132</v>
      </c>
      <c r="KB8" s="9">
        <v>0</v>
      </c>
      <c r="KC8" s="9" t="s">
        <v>44</v>
      </c>
      <c r="KD8" s="9">
        <v>0</v>
      </c>
      <c r="KE8" s="9" t="s">
        <v>104</v>
      </c>
      <c r="KF8" s="9">
        <v>0</v>
      </c>
      <c r="KG8" s="9" t="e">
        <f ca="1">INDEX(#REF!,RANDBETWEEN(1,176))</f>
        <v>#REF!</v>
      </c>
      <c r="KH8" s="9" t="e">
        <f ca="1">VLOOKUP($A8,#REF!,4,0)</f>
        <v>#REF!</v>
      </c>
      <c r="KI8" s="9" t="e">
        <f ca="1">INDEX(#REF!,RANDBETWEEN(1,176))</f>
        <v>#REF!</v>
      </c>
      <c r="KJ8" s="9" t="e">
        <f ca="1">VLOOKUP($A8,#REF!,4,0)</f>
        <v>#REF!</v>
      </c>
      <c r="KK8" s="9" t="e">
        <f ca="1">INDEX(#REF!,RANDBETWEEN(1,176))</f>
        <v>#REF!</v>
      </c>
      <c r="KL8" s="9" t="e">
        <f ca="1">VLOOKUP($A8,#REF!,4,0)</f>
        <v>#REF!</v>
      </c>
      <c r="KM8" s="9" t="e">
        <f ca="1">INDEX(#REF!,RANDBETWEEN(1,176))</f>
        <v>#REF!</v>
      </c>
      <c r="KN8" s="9" t="e">
        <f ca="1">VLOOKUP($A8,#REF!,4,0)</f>
        <v>#REF!</v>
      </c>
      <c r="KO8" s="9" t="e">
        <f ca="1">INDEX(#REF!,RANDBETWEEN(1,176))</f>
        <v>#REF!</v>
      </c>
      <c r="KP8" s="9" t="e">
        <f ca="1">VLOOKUP($A8,#REF!,4,0)</f>
        <v>#REF!</v>
      </c>
      <c r="KQ8" s="9" t="e">
        <f ca="1">INDEX(#REF!,RANDBETWEEN(1,176))</f>
        <v>#REF!</v>
      </c>
      <c r="KR8" s="9" t="e">
        <f ca="1">VLOOKUP($A8,#REF!,4,0)</f>
        <v>#REF!</v>
      </c>
      <c r="KS8" s="9" t="s">
        <v>174</v>
      </c>
      <c r="KT8" s="9">
        <v>0</v>
      </c>
      <c r="KU8" s="9" t="s">
        <v>170</v>
      </c>
      <c r="KV8" s="9">
        <v>0</v>
      </c>
      <c r="KW8" s="9" t="s">
        <v>27</v>
      </c>
      <c r="KX8" s="9">
        <v>22.6</v>
      </c>
      <c r="KY8" s="9" t="s">
        <v>161</v>
      </c>
      <c r="KZ8" s="9">
        <v>0</v>
      </c>
      <c r="LA8" s="9" t="s">
        <v>93</v>
      </c>
      <c r="LB8" s="9">
        <v>0</v>
      </c>
      <c r="LC8" s="9" t="s">
        <v>192</v>
      </c>
      <c r="LD8" s="9">
        <v>0</v>
      </c>
      <c r="LE8" s="9" t="s">
        <v>167</v>
      </c>
      <c r="LF8" s="9">
        <v>0</v>
      </c>
      <c r="LG8" s="9" t="s">
        <v>41</v>
      </c>
      <c r="LH8" s="9">
        <v>0</v>
      </c>
      <c r="LI8" s="9" t="s">
        <v>50</v>
      </c>
      <c r="LJ8" s="9">
        <v>837.38932865935271</v>
      </c>
      <c r="LK8" s="9" t="s">
        <v>46</v>
      </c>
      <c r="LL8" s="9">
        <v>0</v>
      </c>
      <c r="LM8" s="9" t="s">
        <v>88</v>
      </c>
      <c r="LN8" s="9">
        <v>0</v>
      </c>
      <c r="LO8" s="9" t="s">
        <v>21</v>
      </c>
      <c r="LP8" s="9">
        <v>0</v>
      </c>
      <c r="LQ8" s="9" t="s">
        <v>33</v>
      </c>
      <c r="LR8" s="9">
        <v>20.100000000000001</v>
      </c>
      <c r="LS8" s="9" t="s">
        <v>75</v>
      </c>
      <c r="LT8" s="9">
        <v>0</v>
      </c>
      <c r="LU8" s="9" t="s">
        <v>143</v>
      </c>
      <c r="LV8" s="9">
        <v>0</v>
      </c>
      <c r="LW8" s="9" t="s">
        <v>79</v>
      </c>
      <c r="LX8" s="9">
        <v>0</v>
      </c>
      <c r="LY8" s="9" t="s">
        <v>25</v>
      </c>
      <c r="LZ8" s="9">
        <v>0</v>
      </c>
      <c r="MA8" s="9" t="s">
        <v>197</v>
      </c>
      <c r="MB8" s="9">
        <v>1000</v>
      </c>
      <c r="MC8" s="9" t="s">
        <v>76</v>
      </c>
      <c r="MD8" s="9">
        <v>0</v>
      </c>
      <c r="ME8" s="9" t="s">
        <v>142</v>
      </c>
      <c r="MF8" s="9">
        <v>0</v>
      </c>
      <c r="MG8" s="9" t="s">
        <v>88</v>
      </c>
      <c r="MH8" s="9">
        <v>0</v>
      </c>
      <c r="MI8" s="9" t="s">
        <v>105</v>
      </c>
      <c r="MJ8" s="9">
        <v>0</v>
      </c>
      <c r="MK8" s="9" t="s">
        <v>49</v>
      </c>
      <c r="ML8" s="9">
        <v>0</v>
      </c>
      <c r="MM8" s="9" t="s">
        <v>85</v>
      </c>
      <c r="MN8" s="9">
        <v>0</v>
      </c>
      <c r="MO8" s="9" t="s">
        <v>163</v>
      </c>
      <c r="MP8" s="9">
        <v>0</v>
      </c>
      <c r="MQ8" s="9" t="s">
        <v>96</v>
      </c>
      <c r="MR8" s="9">
        <v>0</v>
      </c>
      <c r="MS8" s="9" t="s">
        <v>195</v>
      </c>
      <c r="MT8" s="9">
        <v>0</v>
      </c>
      <c r="MU8" s="9" t="s">
        <v>103</v>
      </c>
      <c r="MV8" s="9">
        <v>436.07789852428124</v>
      </c>
      <c r="MW8" s="9" t="s">
        <v>162</v>
      </c>
      <c r="MX8" s="9">
        <v>0</v>
      </c>
      <c r="MY8" s="9" t="s">
        <v>186</v>
      </c>
      <c r="MZ8" s="9">
        <v>0</v>
      </c>
      <c r="NA8" s="9" t="s">
        <v>136</v>
      </c>
      <c r="NB8" s="9">
        <v>413.4</v>
      </c>
      <c r="NC8" s="9" t="s">
        <v>88</v>
      </c>
      <c r="ND8" s="9">
        <v>0</v>
      </c>
      <c r="NE8" s="9" t="s">
        <v>35</v>
      </c>
      <c r="NF8" s="9">
        <v>0</v>
      </c>
      <c r="NG8" s="9" t="s">
        <v>165</v>
      </c>
      <c r="NH8" s="9">
        <v>799.06957920465936</v>
      </c>
      <c r="NI8" s="9" t="s">
        <v>127</v>
      </c>
      <c r="NJ8" s="9">
        <v>0</v>
      </c>
      <c r="NK8" s="9" t="s">
        <v>63</v>
      </c>
      <c r="NL8" s="9">
        <v>0</v>
      </c>
      <c r="NM8" s="9" t="s">
        <v>136</v>
      </c>
      <c r="NN8" s="9">
        <v>413.4</v>
      </c>
      <c r="NO8" s="9" t="s">
        <v>168</v>
      </c>
      <c r="NP8" s="9">
        <v>0</v>
      </c>
      <c r="NQ8" s="9" t="s">
        <v>139</v>
      </c>
      <c r="NR8" s="9">
        <v>0</v>
      </c>
      <c r="NS8" s="9" t="s">
        <v>131</v>
      </c>
      <c r="NT8" s="9">
        <v>0</v>
      </c>
      <c r="NU8" s="9" t="s">
        <v>93</v>
      </c>
      <c r="NV8" s="9">
        <v>0</v>
      </c>
      <c r="NW8" s="9" t="s">
        <v>123</v>
      </c>
      <c r="NX8" s="9">
        <v>0</v>
      </c>
      <c r="NY8" s="9" t="s">
        <v>190</v>
      </c>
      <c r="NZ8" s="9">
        <v>0</v>
      </c>
      <c r="OA8" s="9" t="s">
        <v>96</v>
      </c>
      <c r="OB8" s="9">
        <v>0</v>
      </c>
      <c r="OC8" s="9" t="s">
        <v>18</v>
      </c>
      <c r="OD8" s="9">
        <v>0</v>
      </c>
      <c r="OE8" s="9" t="s">
        <v>41</v>
      </c>
      <c r="OF8" s="9">
        <v>0</v>
      </c>
      <c r="OG8" s="9" t="s">
        <v>20</v>
      </c>
      <c r="OH8" s="9">
        <v>0</v>
      </c>
      <c r="OI8" s="9" t="s">
        <v>104</v>
      </c>
      <c r="OJ8" s="9">
        <v>0</v>
      </c>
      <c r="OK8" s="9" t="s">
        <v>20</v>
      </c>
      <c r="OL8" s="9">
        <v>0</v>
      </c>
      <c r="OM8" s="9" t="s">
        <v>20</v>
      </c>
      <c r="ON8" s="9">
        <v>0</v>
      </c>
      <c r="OO8" s="9" t="s">
        <v>130</v>
      </c>
      <c r="OP8" s="9">
        <v>0</v>
      </c>
      <c r="OQ8" s="9" t="s">
        <v>58</v>
      </c>
      <c r="OR8" s="9">
        <v>0</v>
      </c>
      <c r="OS8" s="9" t="s">
        <v>96</v>
      </c>
      <c r="OT8" s="9">
        <v>0</v>
      </c>
      <c r="OU8" s="9" t="s">
        <v>142</v>
      </c>
      <c r="OV8" s="9">
        <v>0</v>
      </c>
      <c r="OW8" s="9" t="s">
        <v>190</v>
      </c>
      <c r="OX8" s="9">
        <v>0</v>
      </c>
      <c r="OY8" s="9" t="s">
        <v>93</v>
      </c>
      <c r="OZ8" s="9">
        <v>0</v>
      </c>
      <c r="PA8" s="9" t="s">
        <v>105</v>
      </c>
      <c r="PB8" s="9">
        <v>0</v>
      </c>
      <c r="PC8" s="9" t="s">
        <v>46</v>
      </c>
      <c r="PD8" s="9">
        <v>0</v>
      </c>
      <c r="PE8" s="9" t="s">
        <v>163</v>
      </c>
      <c r="PF8" s="9">
        <v>0</v>
      </c>
      <c r="PG8" s="9" t="s">
        <v>51</v>
      </c>
      <c r="PH8" s="9">
        <v>0</v>
      </c>
      <c r="PI8" s="9" t="s">
        <v>29</v>
      </c>
      <c r="PJ8" s="9">
        <v>0</v>
      </c>
      <c r="PK8" s="9" t="s">
        <v>141</v>
      </c>
      <c r="PL8" s="9">
        <v>0</v>
      </c>
      <c r="PM8" s="9" t="s">
        <v>73</v>
      </c>
      <c r="PN8" s="9">
        <v>0</v>
      </c>
      <c r="PO8" s="9" t="s">
        <v>186</v>
      </c>
      <c r="PP8" s="9">
        <v>0</v>
      </c>
      <c r="PQ8" s="9" t="s">
        <v>37</v>
      </c>
      <c r="PR8" s="9">
        <v>31.6</v>
      </c>
      <c r="PS8" s="9" t="s">
        <v>59</v>
      </c>
      <c r="PT8" s="9">
        <v>0</v>
      </c>
      <c r="PU8" s="9" t="s">
        <v>49</v>
      </c>
      <c r="PV8" s="9">
        <v>0</v>
      </c>
      <c r="PW8" s="9" t="s">
        <v>109</v>
      </c>
      <c r="PX8" s="9">
        <v>0</v>
      </c>
      <c r="PY8" s="9" t="s">
        <v>17</v>
      </c>
      <c r="PZ8" s="9">
        <v>148.79999999999998</v>
      </c>
      <c r="QA8" s="9" t="s">
        <v>36</v>
      </c>
      <c r="QB8" s="9">
        <v>0</v>
      </c>
      <c r="QC8" s="9" t="s">
        <v>186</v>
      </c>
      <c r="QD8" s="9">
        <v>0</v>
      </c>
      <c r="QE8" s="9" t="s">
        <v>24</v>
      </c>
      <c r="QF8" s="9">
        <v>0</v>
      </c>
      <c r="QG8" s="9" t="s">
        <v>125</v>
      </c>
      <c r="QH8" s="9">
        <v>289.60000000000002</v>
      </c>
      <c r="QI8" s="9" t="s">
        <v>121</v>
      </c>
      <c r="QJ8" s="9">
        <v>0</v>
      </c>
      <c r="QK8" s="9" t="s">
        <v>79</v>
      </c>
      <c r="QL8" s="9">
        <v>0</v>
      </c>
      <c r="QM8" s="9" t="s">
        <v>31</v>
      </c>
      <c r="QN8" s="9">
        <v>200</v>
      </c>
      <c r="QO8" s="9" t="s">
        <v>70</v>
      </c>
      <c r="QP8" s="9">
        <v>0</v>
      </c>
      <c r="QQ8" s="9" t="s">
        <v>17</v>
      </c>
      <c r="QR8" s="9">
        <v>148.79999999999998</v>
      </c>
      <c r="QS8" s="9" t="s">
        <v>137</v>
      </c>
      <c r="QT8" s="9">
        <v>0</v>
      </c>
      <c r="QU8" s="9" t="s">
        <v>47</v>
      </c>
      <c r="QV8" s="9">
        <v>389.96562161946986</v>
      </c>
      <c r="QW8" s="9" t="s">
        <v>145</v>
      </c>
      <c r="QX8" s="9">
        <v>509.05014022132127</v>
      </c>
      <c r="QY8" s="9" t="s">
        <v>15</v>
      </c>
      <c r="QZ8" s="9">
        <v>0</v>
      </c>
      <c r="RA8" s="9" t="s">
        <v>165</v>
      </c>
      <c r="RB8" s="9">
        <v>799.06957920465936</v>
      </c>
      <c r="RC8" s="9" t="s">
        <v>99</v>
      </c>
      <c r="RD8" s="9">
        <v>0</v>
      </c>
      <c r="RE8" s="9" t="s">
        <v>34</v>
      </c>
      <c r="RF8" s="9">
        <v>0</v>
      </c>
      <c r="RG8" s="9" t="s">
        <v>200</v>
      </c>
      <c r="RH8" s="9">
        <v>0</v>
      </c>
      <c r="RI8" s="9" t="s">
        <v>172</v>
      </c>
      <c r="RJ8" s="9">
        <v>0</v>
      </c>
      <c r="RK8" s="9" t="s">
        <v>24</v>
      </c>
      <c r="RL8" s="9">
        <v>0</v>
      </c>
      <c r="RM8" s="9" t="s">
        <v>82</v>
      </c>
      <c r="RN8" s="9">
        <v>0</v>
      </c>
      <c r="RO8" s="9" t="s">
        <v>86</v>
      </c>
      <c r="RP8" s="9">
        <v>0</v>
      </c>
      <c r="RQ8" s="9" t="s">
        <v>168</v>
      </c>
      <c r="RR8" s="9">
        <v>0</v>
      </c>
      <c r="RS8" s="9" t="s">
        <v>108</v>
      </c>
      <c r="RT8" s="9">
        <v>0</v>
      </c>
      <c r="RU8" s="9" t="s">
        <v>133</v>
      </c>
      <c r="RV8" s="9">
        <v>0</v>
      </c>
      <c r="RW8" s="9" t="s">
        <v>171</v>
      </c>
      <c r="RX8" s="9">
        <v>0</v>
      </c>
      <c r="RY8" s="9" t="s">
        <v>22</v>
      </c>
      <c r="RZ8" s="9">
        <v>0</v>
      </c>
      <c r="SA8" s="9" t="s">
        <v>55</v>
      </c>
      <c r="SB8" s="9">
        <v>0</v>
      </c>
      <c r="SC8" s="9" t="s">
        <v>59</v>
      </c>
      <c r="SD8" s="9">
        <v>0</v>
      </c>
      <c r="SE8" s="9" t="s">
        <v>168</v>
      </c>
      <c r="SF8" s="9">
        <v>0</v>
      </c>
      <c r="SG8" s="9" t="s">
        <v>193</v>
      </c>
      <c r="SH8" s="9">
        <v>0</v>
      </c>
      <c r="SI8" s="9" t="s">
        <v>151</v>
      </c>
      <c r="SJ8" s="9">
        <v>232.26615547082142</v>
      </c>
    </row>
    <row r="9" spans="1:504" x14ac:dyDescent="0.25">
      <c r="A9" s="9" t="e">
        <f ca="1">INDEX(#REF!,RANDBETWEEN(1,176))</f>
        <v>#REF!</v>
      </c>
      <c r="B9" s="9" t="e">
        <f ca="1">VLOOKUP($A9,#REF!,4,0)</f>
        <v>#REF!</v>
      </c>
      <c r="D9" s="14" t="e">
        <f ca="1">$A$9</f>
        <v>#REF!</v>
      </c>
      <c r="E9" s="9" t="e">
        <f ca="1">VLOOKUP($D9,#REF!,4,0)</f>
        <v>#REF!</v>
      </c>
      <c r="G9" s="9" t="s">
        <v>109</v>
      </c>
      <c r="H9" s="9">
        <v>0</v>
      </c>
      <c r="I9" s="9" t="s">
        <v>173</v>
      </c>
      <c r="J9" s="9">
        <v>0</v>
      </c>
      <c r="K9" s="9" t="s">
        <v>177</v>
      </c>
      <c r="L9" s="9">
        <v>0</v>
      </c>
      <c r="M9" s="9" t="s">
        <v>176</v>
      </c>
      <c r="N9" s="9">
        <v>0</v>
      </c>
      <c r="O9" s="9" t="s">
        <v>123</v>
      </c>
      <c r="P9" s="9">
        <v>0</v>
      </c>
      <c r="Q9" s="9" t="s">
        <v>164</v>
      </c>
      <c r="R9" s="9">
        <v>0</v>
      </c>
      <c r="S9" s="9" t="s">
        <v>56</v>
      </c>
      <c r="T9" s="9">
        <v>0</v>
      </c>
      <c r="U9" s="9" t="s">
        <v>48</v>
      </c>
      <c r="V9" s="9">
        <v>0</v>
      </c>
      <c r="W9" s="9" t="s">
        <v>54</v>
      </c>
      <c r="X9" s="9">
        <v>27.2</v>
      </c>
      <c r="Y9" s="9" t="s">
        <v>182</v>
      </c>
      <c r="Z9" s="9">
        <v>0</v>
      </c>
      <c r="AA9" s="9" t="s">
        <v>24</v>
      </c>
      <c r="AB9" s="9">
        <v>0</v>
      </c>
      <c r="AC9" s="9" t="s">
        <v>52</v>
      </c>
      <c r="AD9" s="9">
        <v>0</v>
      </c>
      <c r="AE9" s="9" t="s">
        <v>186</v>
      </c>
      <c r="AF9" s="9">
        <v>0</v>
      </c>
      <c r="AG9" s="9" t="s">
        <v>18</v>
      </c>
      <c r="AH9" s="9">
        <v>0</v>
      </c>
      <c r="AI9" s="9" t="s">
        <v>143</v>
      </c>
      <c r="AJ9" s="9">
        <v>0</v>
      </c>
      <c r="AK9" s="9" t="s">
        <v>28</v>
      </c>
      <c r="AL9" s="9">
        <v>618.79999999999995</v>
      </c>
      <c r="AM9" s="9" t="s">
        <v>69</v>
      </c>
      <c r="AN9" s="9">
        <v>0</v>
      </c>
      <c r="AO9" s="9" t="s">
        <v>149</v>
      </c>
      <c r="AP9" s="9">
        <v>851.64257005967852</v>
      </c>
      <c r="AQ9" s="9" t="s">
        <v>130</v>
      </c>
      <c r="AR9" s="9">
        <v>0</v>
      </c>
      <c r="AS9" s="9" t="s">
        <v>188</v>
      </c>
      <c r="AT9" s="9">
        <v>1751.0631565987637</v>
      </c>
      <c r="AU9" s="9" t="s">
        <v>149</v>
      </c>
      <c r="AV9" s="9">
        <v>851.64257005967852</v>
      </c>
      <c r="AW9" s="9" t="s">
        <v>19</v>
      </c>
      <c r="AX9" s="9">
        <v>608.40000000000009</v>
      </c>
      <c r="AY9" s="9" t="s">
        <v>61</v>
      </c>
      <c r="AZ9" s="9">
        <v>375.9131934216299</v>
      </c>
      <c r="BA9" s="9" t="s">
        <v>22</v>
      </c>
      <c r="BB9" s="9">
        <v>0</v>
      </c>
      <c r="BC9" s="9" t="s">
        <v>49</v>
      </c>
      <c r="BD9" s="9">
        <v>0</v>
      </c>
      <c r="BE9" s="9" t="s">
        <v>171</v>
      </c>
      <c r="BF9" s="9">
        <v>0</v>
      </c>
      <c r="BG9" s="9" t="s">
        <v>108</v>
      </c>
      <c r="BH9" s="9">
        <v>0</v>
      </c>
      <c r="BI9" s="9" t="s">
        <v>60</v>
      </c>
      <c r="BJ9" s="9">
        <v>0</v>
      </c>
      <c r="BK9" s="9" t="s">
        <v>122</v>
      </c>
      <c r="BL9" s="9">
        <v>0</v>
      </c>
      <c r="BM9" s="9" t="s">
        <v>77</v>
      </c>
      <c r="BN9" s="9">
        <v>0</v>
      </c>
      <c r="BO9" s="9" t="s">
        <v>77</v>
      </c>
      <c r="BP9" s="9">
        <v>0</v>
      </c>
      <c r="BQ9" s="9" t="s">
        <v>87</v>
      </c>
      <c r="BR9" s="9">
        <v>0</v>
      </c>
      <c r="BS9" s="9" t="s">
        <v>123</v>
      </c>
      <c r="BT9" s="9">
        <v>0</v>
      </c>
      <c r="BU9" s="9" t="s">
        <v>39</v>
      </c>
      <c r="BV9" s="9">
        <v>82</v>
      </c>
      <c r="BW9" s="9" t="s">
        <v>34</v>
      </c>
      <c r="BX9" s="9">
        <v>0</v>
      </c>
      <c r="BY9" s="9" t="s">
        <v>180</v>
      </c>
      <c r="BZ9" s="9">
        <v>0</v>
      </c>
      <c r="CA9" s="9" t="s">
        <v>124</v>
      </c>
      <c r="CB9" s="9">
        <v>0</v>
      </c>
      <c r="CC9" s="9" t="s">
        <v>76</v>
      </c>
      <c r="CD9" s="9">
        <v>0</v>
      </c>
      <c r="CE9" s="9" t="s">
        <v>109</v>
      </c>
      <c r="CF9" s="9">
        <v>0</v>
      </c>
      <c r="CG9" s="9" t="s">
        <v>29</v>
      </c>
      <c r="CH9" s="9">
        <v>0</v>
      </c>
      <c r="CI9" s="9" t="s">
        <v>124</v>
      </c>
      <c r="CJ9" s="9">
        <v>0</v>
      </c>
      <c r="CK9" s="9" t="s">
        <v>103</v>
      </c>
      <c r="CL9" s="9">
        <v>436.07789852428124</v>
      </c>
      <c r="CM9" s="9" t="s">
        <v>96</v>
      </c>
      <c r="CN9" s="9">
        <v>0</v>
      </c>
      <c r="CO9" s="9" t="s">
        <v>135</v>
      </c>
      <c r="CP9" s="9">
        <v>0</v>
      </c>
      <c r="CQ9" s="9" t="s">
        <v>67</v>
      </c>
      <c r="CR9" s="9">
        <v>0</v>
      </c>
      <c r="CS9" s="9" t="s">
        <v>199</v>
      </c>
      <c r="CT9" s="9">
        <v>0</v>
      </c>
      <c r="CU9" s="9" t="s">
        <v>23</v>
      </c>
      <c r="CV9" s="9">
        <v>680.40000000000009</v>
      </c>
      <c r="CW9" s="9" t="s">
        <v>82</v>
      </c>
      <c r="CX9" s="9">
        <v>0</v>
      </c>
      <c r="CY9" s="9" t="s">
        <v>70</v>
      </c>
      <c r="CZ9" s="9">
        <v>0</v>
      </c>
      <c r="DA9" s="9" t="s">
        <v>162</v>
      </c>
      <c r="DB9" s="9">
        <v>0</v>
      </c>
      <c r="DC9" s="9" t="s">
        <v>191</v>
      </c>
      <c r="DD9" s="9">
        <v>0</v>
      </c>
      <c r="DE9" s="9" t="s">
        <v>191</v>
      </c>
      <c r="DF9" s="9">
        <v>0</v>
      </c>
      <c r="DG9" s="9" t="s">
        <v>51</v>
      </c>
      <c r="DH9" s="9">
        <v>0</v>
      </c>
      <c r="DI9" s="9" t="s">
        <v>46</v>
      </c>
      <c r="DJ9" s="9">
        <v>0</v>
      </c>
      <c r="DK9" s="9" t="s">
        <v>62</v>
      </c>
      <c r="DL9" s="9">
        <v>0</v>
      </c>
      <c r="DM9" s="9" t="s">
        <v>180</v>
      </c>
      <c r="DN9" s="9">
        <v>0</v>
      </c>
      <c r="DO9" s="9" t="s">
        <v>162</v>
      </c>
      <c r="DP9" s="9">
        <v>0</v>
      </c>
      <c r="DQ9" s="9" t="s">
        <v>107</v>
      </c>
      <c r="DR9" s="9">
        <v>0</v>
      </c>
      <c r="DS9" s="9" t="s">
        <v>145</v>
      </c>
      <c r="DT9" s="9">
        <v>509.05014022132127</v>
      </c>
      <c r="DU9" s="9" t="s">
        <v>139</v>
      </c>
      <c r="DV9" s="9">
        <v>0</v>
      </c>
      <c r="DW9" s="9" t="s">
        <v>64</v>
      </c>
      <c r="DX9" s="9">
        <v>0</v>
      </c>
      <c r="DY9" s="9" t="s">
        <v>39</v>
      </c>
      <c r="DZ9" s="9">
        <v>82</v>
      </c>
      <c r="EA9" s="9" t="s">
        <v>33</v>
      </c>
      <c r="EB9" s="9">
        <v>20.100000000000001</v>
      </c>
      <c r="EC9" s="9" t="s">
        <v>109</v>
      </c>
      <c r="ED9" s="9">
        <v>0</v>
      </c>
      <c r="EE9" s="9" t="s">
        <v>83</v>
      </c>
      <c r="EF9" s="9">
        <v>0</v>
      </c>
      <c r="EG9" s="9" t="s">
        <v>171</v>
      </c>
      <c r="EH9" s="9">
        <v>0</v>
      </c>
      <c r="EI9" s="9" t="s">
        <v>76</v>
      </c>
      <c r="EJ9" s="9">
        <v>0</v>
      </c>
      <c r="EK9" s="9" t="s">
        <v>194</v>
      </c>
      <c r="EL9" s="9">
        <v>0</v>
      </c>
      <c r="EM9" s="9" t="s">
        <v>165</v>
      </c>
      <c r="EN9" s="9">
        <v>799.06957920465936</v>
      </c>
      <c r="EO9" s="9" t="s">
        <v>30</v>
      </c>
      <c r="EP9" s="9">
        <v>196.8</v>
      </c>
      <c r="EQ9" s="9" t="s">
        <v>79</v>
      </c>
      <c r="ER9" s="9">
        <v>0</v>
      </c>
      <c r="ES9" s="9" t="s">
        <v>189</v>
      </c>
      <c r="ET9" s="9">
        <v>0</v>
      </c>
      <c r="EU9" s="9" t="s">
        <v>77</v>
      </c>
      <c r="EV9" s="9">
        <v>0</v>
      </c>
      <c r="EW9" s="9" t="s">
        <v>198</v>
      </c>
      <c r="EX9" s="9">
        <v>0</v>
      </c>
      <c r="EY9" s="9" t="s">
        <v>52</v>
      </c>
      <c r="EZ9" s="9">
        <v>0</v>
      </c>
      <c r="FA9" s="9" t="s">
        <v>71</v>
      </c>
      <c r="FB9" s="9">
        <v>0</v>
      </c>
      <c r="FC9" s="9" t="s">
        <v>123</v>
      </c>
      <c r="FD9" s="9">
        <v>0</v>
      </c>
      <c r="FE9" s="9" t="s">
        <v>119</v>
      </c>
      <c r="FF9" s="9">
        <v>547.79999999999995</v>
      </c>
      <c r="FG9" s="9" t="s">
        <v>133</v>
      </c>
      <c r="FH9" s="9">
        <v>0</v>
      </c>
      <c r="FI9" s="9" t="s">
        <v>21</v>
      </c>
      <c r="FJ9" s="9">
        <v>0</v>
      </c>
      <c r="FK9" s="9" t="s">
        <v>120</v>
      </c>
      <c r="FL9" s="9">
        <v>0</v>
      </c>
      <c r="FM9" s="9" t="s">
        <v>165</v>
      </c>
      <c r="FN9" s="9">
        <v>799.06957920465936</v>
      </c>
      <c r="FO9" s="9" t="s">
        <v>81</v>
      </c>
      <c r="FP9" s="9">
        <v>0</v>
      </c>
      <c r="FQ9" s="9" t="s">
        <v>138</v>
      </c>
      <c r="FR9" s="9">
        <v>0</v>
      </c>
      <c r="FS9" s="9" t="s">
        <v>26</v>
      </c>
      <c r="FT9" s="9">
        <v>382.5</v>
      </c>
      <c r="FU9" s="9" t="s">
        <v>191</v>
      </c>
      <c r="FV9" s="9">
        <v>0</v>
      </c>
      <c r="FW9" s="9" t="s">
        <v>39</v>
      </c>
      <c r="FX9" s="9">
        <v>82</v>
      </c>
      <c r="FY9" s="9" t="s">
        <v>22</v>
      </c>
      <c r="FZ9" s="9">
        <v>0</v>
      </c>
      <c r="GA9" s="9" t="s">
        <v>147</v>
      </c>
      <c r="GB9" s="9">
        <v>0</v>
      </c>
      <c r="GC9" s="9" t="s">
        <v>144</v>
      </c>
      <c r="GD9" s="9">
        <v>0</v>
      </c>
      <c r="GE9" s="9" t="s">
        <v>151</v>
      </c>
      <c r="GF9" s="9">
        <v>232.26615547082142</v>
      </c>
      <c r="GG9" s="9" t="s">
        <v>198</v>
      </c>
      <c r="GH9" s="9">
        <v>0</v>
      </c>
      <c r="GI9" s="9" t="s">
        <v>156</v>
      </c>
      <c r="GJ9" s="9">
        <v>829.10021856815433</v>
      </c>
      <c r="GK9" s="9" t="s">
        <v>110</v>
      </c>
      <c r="GL9" s="9">
        <v>0</v>
      </c>
      <c r="GM9" s="9" t="s">
        <v>148</v>
      </c>
      <c r="GN9" s="9">
        <v>0</v>
      </c>
      <c r="GO9" s="9" t="s">
        <v>42</v>
      </c>
      <c r="GP9" s="9">
        <v>0</v>
      </c>
      <c r="GQ9" s="9" t="s">
        <v>130</v>
      </c>
      <c r="GR9" s="9">
        <v>0</v>
      </c>
      <c r="GS9" s="9" t="s">
        <v>153</v>
      </c>
      <c r="GT9" s="9">
        <v>0</v>
      </c>
      <c r="GU9" s="9" t="s">
        <v>49</v>
      </c>
      <c r="GV9" s="9">
        <v>0</v>
      </c>
      <c r="GW9" s="9" t="s">
        <v>145</v>
      </c>
      <c r="GX9" s="9">
        <v>509.05014022132127</v>
      </c>
      <c r="GY9" s="9" t="s">
        <v>164</v>
      </c>
      <c r="GZ9" s="9">
        <v>0</v>
      </c>
      <c r="HA9" s="9" t="s">
        <v>126</v>
      </c>
      <c r="HB9" s="9">
        <v>512.5</v>
      </c>
      <c r="HC9" s="9" t="s">
        <v>102</v>
      </c>
      <c r="HD9" s="9">
        <v>0</v>
      </c>
      <c r="HE9" s="9" t="s">
        <v>103</v>
      </c>
      <c r="HF9" s="9">
        <v>436.07789852428124</v>
      </c>
      <c r="HG9" s="9" t="s">
        <v>99</v>
      </c>
      <c r="HH9" s="9">
        <v>0</v>
      </c>
      <c r="HI9" s="9" t="s">
        <v>165</v>
      </c>
      <c r="HJ9" s="9">
        <v>799.06957920465936</v>
      </c>
      <c r="HK9" s="9" t="s">
        <v>38</v>
      </c>
      <c r="HL9" s="9">
        <v>0</v>
      </c>
      <c r="HM9" s="9" t="s">
        <v>130</v>
      </c>
      <c r="HN9" s="9">
        <v>0</v>
      </c>
      <c r="HO9" s="9" t="s">
        <v>55</v>
      </c>
      <c r="HP9" s="9">
        <v>0</v>
      </c>
      <c r="HQ9" s="9" t="s">
        <v>182</v>
      </c>
      <c r="HR9" s="9">
        <v>0</v>
      </c>
      <c r="HS9" s="9" t="s">
        <v>178</v>
      </c>
      <c r="HT9" s="9">
        <v>0</v>
      </c>
      <c r="HU9" s="9" t="s">
        <v>84</v>
      </c>
      <c r="HV9" s="9">
        <v>0</v>
      </c>
      <c r="HW9" s="9" t="s">
        <v>170</v>
      </c>
      <c r="HX9" s="9">
        <v>0</v>
      </c>
      <c r="HY9" s="9" t="s">
        <v>85</v>
      </c>
      <c r="HZ9" s="9">
        <v>0</v>
      </c>
      <c r="IA9" s="9" t="s">
        <v>143</v>
      </c>
      <c r="IB9" s="9">
        <v>0</v>
      </c>
      <c r="IC9" s="9" t="s">
        <v>73</v>
      </c>
      <c r="ID9" s="9">
        <v>0</v>
      </c>
      <c r="IE9" s="9" t="s">
        <v>176</v>
      </c>
      <c r="IF9" s="9">
        <v>0</v>
      </c>
      <c r="IG9" s="9" t="s">
        <v>129</v>
      </c>
      <c r="IH9" s="9">
        <v>0</v>
      </c>
      <c r="II9" s="9" t="s">
        <v>184</v>
      </c>
      <c r="IJ9" s="9">
        <v>0</v>
      </c>
      <c r="IK9" s="9" t="s">
        <v>16</v>
      </c>
      <c r="IL9" s="9">
        <v>400.79999999999995</v>
      </c>
      <c r="IM9" s="9" t="s">
        <v>36</v>
      </c>
      <c r="IN9" s="9">
        <v>0</v>
      </c>
      <c r="IO9" s="9" t="s">
        <v>31</v>
      </c>
      <c r="IP9" s="9">
        <v>200</v>
      </c>
      <c r="IQ9" s="9" t="s">
        <v>38</v>
      </c>
      <c r="IR9" s="9">
        <v>0</v>
      </c>
      <c r="IS9" s="9" t="s">
        <v>147</v>
      </c>
      <c r="IT9" s="9">
        <v>0</v>
      </c>
      <c r="IU9" s="9" t="s">
        <v>84</v>
      </c>
      <c r="IV9" s="9">
        <v>0</v>
      </c>
      <c r="IW9" s="9" t="s">
        <v>38</v>
      </c>
      <c r="IX9" s="9">
        <v>0</v>
      </c>
      <c r="IY9" s="9" t="s">
        <v>77</v>
      </c>
      <c r="IZ9" s="9">
        <v>0</v>
      </c>
      <c r="JA9" s="9" t="s">
        <v>18</v>
      </c>
      <c r="JB9" s="9">
        <v>0</v>
      </c>
      <c r="JC9" s="9" t="s">
        <v>54</v>
      </c>
      <c r="JD9" s="9">
        <v>27.2</v>
      </c>
      <c r="JE9" s="9" t="s">
        <v>49</v>
      </c>
      <c r="JF9" s="9">
        <v>0</v>
      </c>
      <c r="JG9" s="9" t="s">
        <v>121</v>
      </c>
      <c r="JH9" s="9">
        <v>0</v>
      </c>
      <c r="JI9" s="9" t="s">
        <v>193</v>
      </c>
      <c r="JJ9" s="9">
        <v>0</v>
      </c>
      <c r="JK9" s="9" t="s">
        <v>174</v>
      </c>
      <c r="JL9" s="9">
        <v>0</v>
      </c>
      <c r="JM9" s="9" t="s">
        <v>43</v>
      </c>
      <c r="JN9" s="9">
        <v>929.06462188328567</v>
      </c>
      <c r="JO9" s="9" t="s">
        <v>48</v>
      </c>
      <c r="JP9" s="9">
        <v>0</v>
      </c>
      <c r="JQ9" s="9" t="s">
        <v>102</v>
      </c>
      <c r="JR9" s="9">
        <v>0</v>
      </c>
      <c r="JS9" s="9" t="s">
        <v>34</v>
      </c>
      <c r="JT9" s="9">
        <v>0</v>
      </c>
      <c r="JU9" s="9" t="s">
        <v>64</v>
      </c>
      <c r="JV9" s="9">
        <v>0</v>
      </c>
      <c r="JW9" s="9" t="s">
        <v>14</v>
      </c>
      <c r="JX9" s="9">
        <v>0</v>
      </c>
      <c r="JY9" s="9" t="s">
        <v>82</v>
      </c>
      <c r="JZ9" s="9">
        <v>0</v>
      </c>
      <c r="KA9" s="9" t="s">
        <v>178</v>
      </c>
      <c r="KB9" s="9">
        <v>0</v>
      </c>
      <c r="KC9" s="9" t="s">
        <v>140</v>
      </c>
      <c r="KD9" s="9">
        <v>0</v>
      </c>
      <c r="KE9" s="9" t="s">
        <v>143</v>
      </c>
      <c r="KF9" s="9">
        <v>0</v>
      </c>
      <c r="KG9" s="9" t="e">
        <f ca="1">INDEX(#REF!,RANDBETWEEN(1,176))</f>
        <v>#REF!</v>
      </c>
      <c r="KH9" s="9" t="e">
        <f ca="1">VLOOKUP($A9,#REF!,4,0)</f>
        <v>#REF!</v>
      </c>
      <c r="KI9" s="9" t="e">
        <f ca="1">INDEX(#REF!,RANDBETWEEN(1,176))</f>
        <v>#REF!</v>
      </c>
      <c r="KJ9" s="9" t="e">
        <f ca="1">VLOOKUP($A9,#REF!,4,0)</f>
        <v>#REF!</v>
      </c>
      <c r="KK9" s="9" t="e">
        <f ca="1">INDEX(#REF!,RANDBETWEEN(1,176))</f>
        <v>#REF!</v>
      </c>
      <c r="KL9" s="9" t="e">
        <f ca="1">VLOOKUP($A9,#REF!,4,0)</f>
        <v>#REF!</v>
      </c>
      <c r="KM9" s="9" t="e">
        <f ca="1">INDEX(#REF!,RANDBETWEEN(1,176))</f>
        <v>#REF!</v>
      </c>
      <c r="KN9" s="9" t="e">
        <f ca="1">VLOOKUP($A9,#REF!,4,0)</f>
        <v>#REF!</v>
      </c>
      <c r="KO9" s="9" t="e">
        <f ca="1">INDEX(#REF!,RANDBETWEEN(1,176))</f>
        <v>#REF!</v>
      </c>
      <c r="KP9" s="9" t="e">
        <f ca="1">VLOOKUP($A9,#REF!,4,0)</f>
        <v>#REF!</v>
      </c>
      <c r="KQ9" s="9" t="e">
        <f ca="1">INDEX(#REF!,RANDBETWEEN(1,176))</f>
        <v>#REF!</v>
      </c>
      <c r="KR9" s="9" t="e">
        <f ca="1">VLOOKUP($A9,#REF!,4,0)</f>
        <v>#REF!</v>
      </c>
      <c r="KS9" s="9" t="s">
        <v>74</v>
      </c>
      <c r="KT9" s="9">
        <v>0</v>
      </c>
      <c r="KU9" s="9" t="s">
        <v>81</v>
      </c>
      <c r="KV9" s="9">
        <v>0</v>
      </c>
      <c r="KW9" s="9" t="s">
        <v>56</v>
      </c>
      <c r="KX9" s="9">
        <v>0</v>
      </c>
      <c r="KY9" s="9" t="s">
        <v>179</v>
      </c>
      <c r="KZ9" s="9">
        <v>0</v>
      </c>
      <c r="LA9" s="9" t="s">
        <v>56</v>
      </c>
      <c r="LB9" s="9">
        <v>0</v>
      </c>
      <c r="LC9" s="9" t="s">
        <v>191</v>
      </c>
      <c r="LD9" s="9">
        <v>0</v>
      </c>
      <c r="LE9" s="9" t="s">
        <v>55</v>
      </c>
      <c r="LF9" s="9">
        <v>0</v>
      </c>
      <c r="LG9" s="9" t="s">
        <v>57</v>
      </c>
      <c r="LH9" s="9">
        <v>0</v>
      </c>
      <c r="LI9" s="9" t="s">
        <v>14</v>
      </c>
      <c r="LJ9" s="9">
        <v>0</v>
      </c>
      <c r="LK9" s="9" t="s">
        <v>61</v>
      </c>
      <c r="LL9" s="9">
        <v>375.9131934216299</v>
      </c>
      <c r="LM9" s="9" t="s">
        <v>99</v>
      </c>
      <c r="LN9" s="9">
        <v>0</v>
      </c>
      <c r="LO9" s="9" t="s">
        <v>134</v>
      </c>
      <c r="LP9" s="9">
        <v>1635.2921194660546</v>
      </c>
      <c r="LQ9" s="9" t="s">
        <v>188</v>
      </c>
      <c r="LR9" s="9">
        <v>1751.0631565987637</v>
      </c>
      <c r="LS9" s="9" t="s">
        <v>50</v>
      </c>
      <c r="LT9" s="9">
        <v>837.38932865935271</v>
      </c>
      <c r="LU9" s="9" t="s">
        <v>198</v>
      </c>
      <c r="LV9" s="9">
        <v>0</v>
      </c>
      <c r="LW9" s="9" t="s">
        <v>120</v>
      </c>
      <c r="LX9" s="9">
        <v>0</v>
      </c>
      <c r="LY9" s="9" t="s">
        <v>98</v>
      </c>
      <c r="LZ9" s="9">
        <v>0</v>
      </c>
      <c r="MA9" s="9" t="s">
        <v>179</v>
      </c>
      <c r="MB9" s="9">
        <v>0</v>
      </c>
      <c r="MC9" s="9" t="s">
        <v>65</v>
      </c>
      <c r="MD9" s="9">
        <v>0</v>
      </c>
      <c r="ME9" s="9" t="s">
        <v>18</v>
      </c>
      <c r="MF9" s="9">
        <v>0</v>
      </c>
      <c r="MG9" s="9" t="s">
        <v>36</v>
      </c>
      <c r="MH9" s="9">
        <v>0</v>
      </c>
      <c r="MI9" s="9" t="s">
        <v>19</v>
      </c>
      <c r="MJ9" s="9">
        <v>608.40000000000009</v>
      </c>
      <c r="MK9" s="9" t="s">
        <v>21</v>
      </c>
      <c r="ML9" s="9">
        <v>0</v>
      </c>
      <c r="MM9" s="9" t="s">
        <v>161</v>
      </c>
      <c r="MN9" s="9">
        <v>0</v>
      </c>
      <c r="MO9" s="9" t="s">
        <v>131</v>
      </c>
      <c r="MP9" s="9">
        <v>0</v>
      </c>
      <c r="MQ9" s="9" t="s">
        <v>84</v>
      </c>
      <c r="MR9" s="9">
        <v>0</v>
      </c>
      <c r="MS9" s="9" t="s">
        <v>45</v>
      </c>
      <c r="MT9" s="9">
        <v>549.59321095902715</v>
      </c>
      <c r="MU9" s="9" t="s">
        <v>82</v>
      </c>
      <c r="MV9" s="9">
        <v>0</v>
      </c>
      <c r="MW9" s="9" t="s">
        <v>85</v>
      </c>
      <c r="MX9" s="9">
        <v>0</v>
      </c>
      <c r="MY9" s="9" t="s">
        <v>176</v>
      </c>
      <c r="MZ9" s="9">
        <v>0</v>
      </c>
      <c r="NA9" s="9" t="s">
        <v>168</v>
      </c>
      <c r="NB9" s="9">
        <v>0</v>
      </c>
      <c r="NC9" s="9" t="s">
        <v>47</v>
      </c>
      <c r="ND9" s="9">
        <v>389.96562161946986</v>
      </c>
      <c r="NE9" s="9" t="s">
        <v>85</v>
      </c>
      <c r="NF9" s="9">
        <v>0</v>
      </c>
      <c r="NG9" s="9" t="s">
        <v>62</v>
      </c>
      <c r="NH9" s="9">
        <v>0</v>
      </c>
      <c r="NI9" s="9" t="s">
        <v>139</v>
      </c>
      <c r="NJ9" s="9">
        <v>0</v>
      </c>
      <c r="NK9" s="9" t="s">
        <v>190</v>
      </c>
      <c r="NL9" s="9">
        <v>0</v>
      </c>
      <c r="NM9" s="9" t="s">
        <v>72</v>
      </c>
      <c r="NN9" s="9">
        <v>0</v>
      </c>
      <c r="NO9" s="9" t="s">
        <v>81</v>
      </c>
      <c r="NP9" s="9">
        <v>0</v>
      </c>
      <c r="NQ9" s="9" t="s">
        <v>17</v>
      </c>
      <c r="NR9" s="9">
        <v>148.79999999999998</v>
      </c>
      <c r="NS9" s="9" t="s">
        <v>76</v>
      </c>
      <c r="NT9" s="9">
        <v>0</v>
      </c>
      <c r="NU9" s="9" t="s">
        <v>125</v>
      </c>
      <c r="NV9" s="9">
        <v>289.60000000000002</v>
      </c>
      <c r="NW9" s="9" t="s">
        <v>15</v>
      </c>
      <c r="NX9" s="9">
        <v>0</v>
      </c>
      <c r="NY9" s="9" t="s">
        <v>176</v>
      </c>
      <c r="NZ9" s="9">
        <v>0</v>
      </c>
      <c r="OA9" s="9" t="s">
        <v>24</v>
      </c>
      <c r="OB9" s="9">
        <v>0</v>
      </c>
      <c r="OC9" s="9" t="s">
        <v>109</v>
      </c>
      <c r="OD9" s="9">
        <v>0</v>
      </c>
      <c r="OE9" s="9" t="s">
        <v>134</v>
      </c>
      <c r="OF9" s="9">
        <v>1635.2921194660546</v>
      </c>
      <c r="OG9" s="9" t="s">
        <v>163</v>
      </c>
      <c r="OH9" s="9">
        <v>0</v>
      </c>
      <c r="OI9" s="9" t="s">
        <v>158</v>
      </c>
      <c r="OJ9" s="9">
        <v>0</v>
      </c>
      <c r="OK9" s="9" t="s">
        <v>86</v>
      </c>
      <c r="OL9" s="9">
        <v>0</v>
      </c>
      <c r="OM9" s="9" t="s">
        <v>162</v>
      </c>
      <c r="ON9" s="9">
        <v>0</v>
      </c>
      <c r="OO9" s="9" t="s">
        <v>174</v>
      </c>
      <c r="OP9" s="9">
        <v>0</v>
      </c>
      <c r="OQ9" s="9" t="s">
        <v>163</v>
      </c>
      <c r="OR9" s="9">
        <v>0</v>
      </c>
      <c r="OS9" s="9" t="s">
        <v>154</v>
      </c>
      <c r="OT9" s="9">
        <v>65.099999999999994</v>
      </c>
      <c r="OU9" s="9" t="s">
        <v>125</v>
      </c>
      <c r="OV9" s="9">
        <v>289.60000000000002</v>
      </c>
      <c r="OW9" s="9" t="s">
        <v>180</v>
      </c>
      <c r="OX9" s="9">
        <v>0</v>
      </c>
      <c r="OY9" s="9" t="s">
        <v>97</v>
      </c>
      <c r="OZ9" s="9">
        <v>0</v>
      </c>
      <c r="PA9" s="9" t="s">
        <v>107</v>
      </c>
      <c r="PB9" s="9">
        <v>0</v>
      </c>
      <c r="PC9" s="9" t="s">
        <v>121</v>
      </c>
      <c r="PD9" s="9">
        <v>0</v>
      </c>
      <c r="PE9" s="9" t="s">
        <v>54</v>
      </c>
      <c r="PF9" s="9">
        <v>27.2</v>
      </c>
      <c r="PG9" s="9" t="s">
        <v>61</v>
      </c>
      <c r="PH9" s="9">
        <v>375.9131934216299</v>
      </c>
      <c r="PI9" s="9" t="s">
        <v>166</v>
      </c>
      <c r="PJ9" s="9">
        <v>0</v>
      </c>
      <c r="PK9" s="9" t="s">
        <v>131</v>
      </c>
      <c r="PL9" s="9">
        <v>0</v>
      </c>
      <c r="PM9" s="9" t="s">
        <v>129</v>
      </c>
      <c r="PN9" s="9">
        <v>0</v>
      </c>
      <c r="PO9" s="9" t="s">
        <v>156</v>
      </c>
      <c r="PP9" s="9">
        <v>829.10021856815433</v>
      </c>
      <c r="PQ9" s="9" t="s">
        <v>136</v>
      </c>
      <c r="PR9" s="9">
        <v>413.4</v>
      </c>
      <c r="PS9" s="9" t="s">
        <v>122</v>
      </c>
      <c r="PT9" s="9">
        <v>0</v>
      </c>
      <c r="PU9" s="9" t="s">
        <v>76</v>
      </c>
      <c r="PV9" s="9">
        <v>0</v>
      </c>
      <c r="PW9" s="9" t="s">
        <v>100</v>
      </c>
      <c r="PX9" s="9">
        <v>0</v>
      </c>
      <c r="PY9" s="9" t="s">
        <v>119</v>
      </c>
      <c r="PZ9" s="9">
        <v>547.79999999999995</v>
      </c>
      <c r="QA9" s="9" t="s">
        <v>25</v>
      </c>
      <c r="QB9" s="9">
        <v>0</v>
      </c>
      <c r="QC9" s="9" t="s">
        <v>98</v>
      </c>
      <c r="QD9" s="9">
        <v>0</v>
      </c>
      <c r="QE9" s="9" t="s">
        <v>145</v>
      </c>
      <c r="QF9" s="9">
        <v>509.05014022132127</v>
      </c>
      <c r="QG9" s="9" t="s">
        <v>197</v>
      </c>
      <c r="QH9" s="9">
        <v>1000</v>
      </c>
      <c r="QI9" s="9" t="s">
        <v>49</v>
      </c>
      <c r="QJ9" s="9">
        <v>0</v>
      </c>
      <c r="QK9" s="9" t="s">
        <v>57</v>
      </c>
      <c r="QL9" s="9">
        <v>0</v>
      </c>
      <c r="QM9" s="9" t="s">
        <v>71</v>
      </c>
      <c r="QN9" s="9">
        <v>0</v>
      </c>
      <c r="QO9" s="9" t="s">
        <v>32</v>
      </c>
      <c r="QP9" s="9">
        <v>0</v>
      </c>
      <c r="QQ9" s="9" t="s">
        <v>96</v>
      </c>
      <c r="QR9" s="9">
        <v>0</v>
      </c>
      <c r="QS9" s="9" t="s">
        <v>98</v>
      </c>
      <c r="QT9" s="9">
        <v>0</v>
      </c>
      <c r="QU9" s="9" t="s">
        <v>166</v>
      </c>
      <c r="QV9" s="9">
        <v>0</v>
      </c>
      <c r="QW9" s="9" t="s">
        <v>172</v>
      </c>
      <c r="QX9" s="9">
        <v>0</v>
      </c>
      <c r="QY9" s="9" t="s">
        <v>50</v>
      </c>
      <c r="QZ9" s="9">
        <v>837.38932865935271</v>
      </c>
      <c r="RA9" s="9" t="s">
        <v>157</v>
      </c>
      <c r="RB9" s="9">
        <v>0</v>
      </c>
      <c r="RC9" s="9" t="s">
        <v>107</v>
      </c>
      <c r="RD9" s="9">
        <v>0</v>
      </c>
      <c r="RE9" s="9" t="s">
        <v>146</v>
      </c>
      <c r="RF9" s="9">
        <v>0</v>
      </c>
      <c r="RG9" s="9" t="s">
        <v>187</v>
      </c>
      <c r="RH9" s="9">
        <v>0</v>
      </c>
      <c r="RI9" s="9" t="s">
        <v>24</v>
      </c>
      <c r="RJ9" s="9">
        <v>0</v>
      </c>
      <c r="RK9" s="9" t="s">
        <v>183</v>
      </c>
      <c r="RL9" s="9">
        <v>0</v>
      </c>
      <c r="RM9" s="9" t="s">
        <v>148</v>
      </c>
      <c r="RN9" s="9">
        <v>0</v>
      </c>
      <c r="RO9" s="9" t="s">
        <v>69</v>
      </c>
      <c r="RP9" s="9">
        <v>0</v>
      </c>
      <c r="RQ9" s="9" t="s">
        <v>106</v>
      </c>
      <c r="RR9" s="9">
        <v>0</v>
      </c>
      <c r="RS9" s="9" t="s">
        <v>69</v>
      </c>
      <c r="RT9" s="9">
        <v>0</v>
      </c>
      <c r="RU9" s="9" t="s">
        <v>151</v>
      </c>
      <c r="RV9" s="9">
        <v>232.26615547082142</v>
      </c>
      <c r="RW9" s="9" t="s">
        <v>49</v>
      </c>
      <c r="RX9" s="9">
        <v>0</v>
      </c>
      <c r="RY9" s="9" t="s">
        <v>193</v>
      </c>
      <c r="RZ9" s="9">
        <v>0</v>
      </c>
      <c r="SA9" s="9" t="s">
        <v>40</v>
      </c>
      <c r="SB9" s="9">
        <v>0</v>
      </c>
      <c r="SC9" s="9" t="s">
        <v>32</v>
      </c>
      <c r="SD9" s="9">
        <v>0</v>
      </c>
      <c r="SE9" s="9" t="s">
        <v>183</v>
      </c>
      <c r="SF9" s="9">
        <v>0</v>
      </c>
      <c r="SG9" s="9" t="s">
        <v>14</v>
      </c>
      <c r="SH9" s="9">
        <v>0</v>
      </c>
      <c r="SI9" s="9" t="s">
        <v>92</v>
      </c>
      <c r="SJ9" s="9">
        <v>0</v>
      </c>
    </row>
    <row r="10" spans="1:504" x14ac:dyDescent="0.25">
      <c r="A10" s="9" t="e">
        <f ca="1">INDEX(#REF!,RANDBETWEEN(1,176))</f>
        <v>#REF!</v>
      </c>
      <c r="B10" s="9" t="e">
        <f ca="1">VLOOKUP($A10,#REF!,4,0)</f>
        <v>#REF!</v>
      </c>
      <c r="D10" s="14" t="e">
        <f ca="1">$A$10</f>
        <v>#REF!</v>
      </c>
      <c r="E10" s="9" t="e">
        <f ca="1">VLOOKUP($D10,#REF!,4,0)</f>
        <v>#REF!</v>
      </c>
      <c r="G10" s="9" t="s">
        <v>146</v>
      </c>
      <c r="H10" s="9">
        <v>0</v>
      </c>
      <c r="I10" s="9" t="s">
        <v>97</v>
      </c>
      <c r="J10" s="9">
        <v>0</v>
      </c>
      <c r="K10" s="9" t="s">
        <v>140</v>
      </c>
      <c r="L10" s="9">
        <v>0</v>
      </c>
      <c r="M10" s="9" t="s">
        <v>57</v>
      </c>
      <c r="N10" s="9">
        <v>0</v>
      </c>
      <c r="O10" s="9" t="s">
        <v>94</v>
      </c>
      <c r="P10" s="9">
        <v>232.26615547082142</v>
      </c>
      <c r="Q10" s="9" t="s">
        <v>166</v>
      </c>
      <c r="R10" s="9">
        <v>0</v>
      </c>
      <c r="S10" s="9" t="s">
        <v>136</v>
      </c>
      <c r="T10" s="9">
        <v>413.4</v>
      </c>
      <c r="U10" s="9" t="s">
        <v>31</v>
      </c>
      <c r="V10" s="9">
        <v>200</v>
      </c>
      <c r="W10" s="9" t="s">
        <v>74</v>
      </c>
      <c r="X10" s="9">
        <v>0</v>
      </c>
      <c r="Y10" s="9" t="s">
        <v>169</v>
      </c>
      <c r="Z10" s="9">
        <v>0</v>
      </c>
      <c r="AA10" s="9" t="s">
        <v>161</v>
      </c>
      <c r="AB10" s="9">
        <v>0</v>
      </c>
      <c r="AC10" s="9" t="s">
        <v>100</v>
      </c>
      <c r="AD10" s="9">
        <v>0</v>
      </c>
      <c r="AE10" s="9" t="s">
        <v>131</v>
      </c>
      <c r="AF10" s="9">
        <v>0</v>
      </c>
      <c r="AG10" s="9" t="s">
        <v>51</v>
      </c>
      <c r="AH10" s="9">
        <v>0</v>
      </c>
      <c r="AI10" s="9" t="s">
        <v>53</v>
      </c>
      <c r="AJ10" s="9">
        <v>0</v>
      </c>
      <c r="AK10" s="9" t="s">
        <v>186</v>
      </c>
      <c r="AL10" s="9">
        <v>0</v>
      </c>
      <c r="AM10" s="9" t="s">
        <v>146</v>
      </c>
      <c r="AN10" s="9">
        <v>0</v>
      </c>
      <c r="AO10" s="9" t="s">
        <v>20</v>
      </c>
      <c r="AP10" s="9">
        <v>0</v>
      </c>
      <c r="AQ10" s="9" t="s">
        <v>81</v>
      </c>
      <c r="AR10" s="9">
        <v>0</v>
      </c>
      <c r="AS10" s="9" t="s">
        <v>165</v>
      </c>
      <c r="AT10" s="9">
        <v>799.06957920465936</v>
      </c>
      <c r="AU10" s="9" t="s">
        <v>49</v>
      </c>
      <c r="AV10" s="9">
        <v>0</v>
      </c>
      <c r="AW10" s="9" t="s">
        <v>51</v>
      </c>
      <c r="AX10" s="9">
        <v>0</v>
      </c>
      <c r="AY10" s="9" t="s">
        <v>109</v>
      </c>
      <c r="AZ10" s="9">
        <v>0</v>
      </c>
      <c r="BA10" s="9" t="s">
        <v>179</v>
      </c>
      <c r="BB10" s="9">
        <v>0</v>
      </c>
      <c r="BC10" s="9" t="s">
        <v>40</v>
      </c>
      <c r="BD10" s="9">
        <v>0</v>
      </c>
      <c r="BE10" s="9" t="s">
        <v>130</v>
      </c>
      <c r="BF10" s="9">
        <v>0</v>
      </c>
      <c r="BG10" s="9" t="s">
        <v>122</v>
      </c>
      <c r="BH10" s="9">
        <v>0</v>
      </c>
      <c r="BI10" s="9" t="s">
        <v>109</v>
      </c>
      <c r="BJ10" s="9">
        <v>0</v>
      </c>
      <c r="BK10" s="9" t="s">
        <v>91</v>
      </c>
      <c r="BL10" s="9">
        <v>0</v>
      </c>
      <c r="BM10" s="9" t="s">
        <v>119</v>
      </c>
      <c r="BN10" s="9">
        <v>547.79999999999995</v>
      </c>
      <c r="BO10" s="9" t="s">
        <v>15</v>
      </c>
      <c r="BP10" s="9">
        <v>0</v>
      </c>
      <c r="BQ10" s="9" t="s">
        <v>61</v>
      </c>
      <c r="BR10" s="9">
        <v>375.9131934216299</v>
      </c>
      <c r="BS10" s="9" t="s">
        <v>102</v>
      </c>
      <c r="BT10" s="9">
        <v>0</v>
      </c>
      <c r="BU10" s="9" t="s">
        <v>180</v>
      </c>
      <c r="BV10" s="9">
        <v>0</v>
      </c>
      <c r="BW10" s="9" t="s">
        <v>18</v>
      </c>
      <c r="BX10" s="9">
        <v>0</v>
      </c>
      <c r="BY10" s="9" t="s">
        <v>125</v>
      </c>
      <c r="BZ10" s="9">
        <v>289.60000000000002</v>
      </c>
      <c r="CA10" s="9" t="s">
        <v>39</v>
      </c>
      <c r="CB10" s="9">
        <v>82</v>
      </c>
      <c r="CC10" s="9" t="s">
        <v>142</v>
      </c>
      <c r="CD10" s="9">
        <v>0</v>
      </c>
      <c r="CE10" s="9" t="s">
        <v>125</v>
      </c>
      <c r="CF10" s="9">
        <v>289.60000000000002</v>
      </c>
      <c r="CG10" s="9" t="s">
        <v>58</v>
      </c>
      <c r="CH10" s="9">
        <v>0</v>
      </c>
      <c r="CI10" s="9" t="s">
        <v>89</v>
      </c>
      <c r="CJ10" s="9">
        <v>0</v>
      </c>
      <c r="CK10" s="9" t="s">
        <v>139</v>
      </c>
      <c r="CL10" s="9">
        <v>0</v>
      </c>
      <c r="CM10" s="9" t="s">
        <v>88</v>
      </c>
      <c r="CN10" s="9">
        <v>0</v>
      </c>
      <c r="CO10" s="9" t="s">
        <v>15</v>
      </c>
      <c r="CP10" s="9">
        <v>0</v>
      </c>
      <c r="CQ10" s="9" t="s">
        <v>179</v>
      </c>
      <c r="CR10" s="9">
        <v>0</v>
      </c>
      <c r="CS10" s="9" t="s">
        <v>130</v>
      </c>
      <c r="CT10" s="9">
        <v>0</v>
      </c>
      <c r="CU10" s="9" t="s">
        <v>59</v>
      </c>
      <c r="CV10" s="9">
        <v>0</v>
      </c>
      <c r="CW10" s="9" t="s">
        <v>50</v>
      </c>
      <c r="CX10" s="9">
        <v>837.38932865935271</v>
      </c>
      <c r="CY10" s="9" t="s">
        <v>198</v>
      </c>
      <c r="CZ10" s="9">
        <v>0</v>
      </c>
      <c r="DA10" s="9" t="s">
        <v>39</v>
      </c>
      <c r="DB10" s="9">
        <v>82</v>
      </c>
      <c r="DC10" s="9" t="s">
        <v>103</v>
      </c>
      <c r="DD10" s="9">
        <v>436.07789852428124</v>
      </c>
      <c r="DE10" s="9" t="s">
        <v>163</v>
      </c>
      <c r="DF10" s="9">
        <v>0</v>
      </c>
      <c r="DG10" s="9" t="s">
        <v>32</v>
      </c>
      <c r="DH10" s="9">
        <v>0</v>
      </c>
      <c r="DI10" s="9" t="s">
        <v>101</v>
      </c>
      <c r="DJ10" s="9">
        <v>625</v>
      </c>
      <c r="DK10" s="9" t="s">
        <v>145</v>
      </c>
      <c r="DL10" s="9">
        <v>509.05014022132127</v>
      </c>
      <c r="DM10" s="9" t="s">
        <v>46</v>
      </c>
      <c r="DN10" s="9">
        <v>0</v>
      </c>
      <c r="DO10" s="9" t="s">
        <v>148</v>
      </c>
      <c r="DP10" s="9">
        <v>0</v>
      </c>
      <c r="DQ10" s="9" t="s">
        <v>150</v>
      </c>
      <c r="DR10" s="9">
        <v>0</v>
      </c>
      <c r="DS10" s="9" t="s">
        <v>93</v>
      </c>
      <c r="DT10" s="9">
        <v>0</v>
      </c>
      <c r="DU10" s="9" t="s">
        <v>104</v>
      </c>
      <c r="DV10" s="9">
        <v>0</v>
      </c>
      <c r="DW10" s="9" t="s">
        <v>166</v>
      </c>
      <c r="DX10" s="9">
        <v>0</v>
      </c>
      <c r="DY10" s="9" t="s">
        <v>98</v>
      </c>
      <c r="DZ10" s="9">
        <v>0</v>
      </c>
      <c r="EA10" s="9" t="s">
        <v>27</v>
      </c>
      <c r="EB10" s="9">
        <v>22.6</v>
      </c>
      <c r="EC10" s="9" t="s">
        <v>128</v>
      </c>
      <c r="ED10" s="9">
        <v>322.5</v>
      </c>
      <c r="EE10" s="9" t="s">
        <v>130</v>
      </c>
      <c r="EF10" s="9">
        <v>0</v>
      </c>
      <c r="EG10" s="9" t="s">
        <v>192</v>
      </c>
      <c r="EH10" s="9">
        <v>0</v>
      </c>
      <c r="EI10" s="9" t="s">
        <v>134</v>
      </c>
      <c r="EJ10" s="9">
        <v>1635.2921194660546</v>
      </c>
      <c r="EK10" s="9" t="s">
        <v>84</v>
      </c>
      <c r="EL10" s="9">
        <v>0</v>
      </c>
      <c r="EM10" s="9" t="s">
        <v>137</v>
      </c>
      <c r="EN10" s="9">
        <v>0</v>
      </c>
      <c r="EO10" s="9" t="s">
        <v>54</v>
      </c>
      <c r="EP10" s="9">
        <v>27.2</v>
      </c>
      <c r="EQ10" s="9" t="s">
        <v>103</v>
      </c>
      <c r="ER10" s="9">
        <v>436.07789852428124</v>
      </c>
      <c r="ES10" s="9" t="s">
        <v>51</v>
      </c>
      <c r="ET10" s="9">
        <v>0</v>
      </c>
      <c r="EU10" s="9" t="s">
        <v>135</v>
      </c>
      <c r="EV10" s="9">
        <v>0</v>
      </c>
      <c r="EW10" s="9" t="s">
        <v>103</v>
      </c>
      <c r="EX10" s="9">
        <v>436.07789852428124</v>
      </c>
      <c r="EY10" s="9" t="s">
        <v>53</v>
      </c>
      <c r="EZ10" s="9">
        <v>0</v>
      </c>
      <c r="FA10" s="9" t="s">
        <v>194</v>
      </c>
      <c r="FB10" s="9">
        <v>0</v>
      </c>
      <c r="FC10" s="9" t="s">
        <v>73</v>
      </c>
      <c r="FD10" s="9">
        <v>0</v>
      </c>
      <c r="FE10" s="9" t="s">
        <v>58</v>
      </c>
      <c r="FF10" s="9">
        <v>0</v>
      </c>
      <c r="FG10" s="9" t="s">
        <v>55</v>
      </c>
      <c r="FH10" s="9">
        <v>0</v>
      </c>
      <c r="FI10" s="9" t="s">
        <v>68</v>
      </c>
      <c r="FJ10" s="9">
        <v>250</v>
      </c>
      <c r="FK10" s="9" t="s">
        <v>137</v>
      </c>
      <c r="FL10" s="9">
        <v>0</v>
      </c>
      <c r="FM10" s="9" t="s">
        <v>46</v>
      </c>
      <c r="FN10" s="9">
        <v>0</v>
      </c>
      <c r="FO10" s="9" t="s">
        <v>186</v>
      </c>
      <c r="FP10" s="9">
        <v>0</v>
      </c>
      <c r="FQ10" s="9" t="s">
        <v>26</v>
      </c>
      <c r="FR10" s="9">
        <v>382.5</v>
      </c>
      <c r="FS10" s="9" t="s">
        <v>26</v>
      </c>
      <c r="FT10" s="9">
        <v>382.5</v>
      </c>
      <c r="FU10" s="9" t="s">
        <v>124</v>
      </c>
      <c r="FV10" s="9">
        <v>0</v>
      </c>
      <c r="FW10" s="9" t="s">
        <v>59</v>
      </c>
      <c r="FX10" s="9">
        <v>0</v>
      </c>
      <c r="FY10" s="9" t="s">
        <v>126</v>
      </c>
      <c r="FZ10" s="9">
        <v>512.5</v>
      </c>
      <c r="GA10" s="9" t="s">
        <v>126</v>
      </c>
      <c r="GB10" s="9">
        <v>512.5</v>
      </c>
      <c r="GC10" s="9" t="s">
        <v>46</v>
      </c>
      <c r="GD10" s="9">
        <v>0</v>
      </c>
      <c r="GE10" s="9" t="s">
        <v>16</v>
      </c>
      <c r="GF10" s="9">
        <v>400.79999999999995</v>
      </c>
      <c r="GG10" s="9" t="s">
        <v>108</v>
      </c>
      <c r="GH10" s="9">
        <v>0</v>
      </c>
      <c r="GI10" s="9" t="s">
        <v>154</v>
      </c>
      <c r="GJ10" s="9">
        <v>65.099999999999994</v>
      </c>
      <c r="GK10" s="9" t="s">
        <v>157</v>
      </c>
      <c r="GL10" s="9">
        <v>0</v>
      </c>
      <c r="GM10" s="9" t="s">
        <v>173</v>
      </c>
      <c r="GN10" s="9">
        <v>0</v>
      </c>
      <c r="GO10" s="9" t="s">
        <v>67</v>
      </c>
      <c r="GP10" s="9">
        <v>0</v>
      </c>
      <c r="GQ10" s="9" t="s">
        <v>73</v>
      </c>
      <c r="GR10" s="9">
        <v>0</v>
      </c>
      <c r="GS10" s="9" t="s">
        <v>150</v>
      </c>
      <c r="GT10" s="9">
        <v>0</v>
      </c>
      <c r="GU10" s="9" t="s">
        <v>22</v>
      </c>
      <c r="GV10" s="9">
        <v>0</v>
      </c>
      <c r="GW10" s="9" t="s">
        <v>137</v>
      </c>
      <c r="GX10" s="9">
        <v>0</v>
      </c>
      <c r="GY10" s="9" t="s">
        <v>144</v>
      </c>
      <c r="GZ10" s="9">
        <v>0</v>
      </c>
      <c r="HA10" s="9" t="s">
        <v>109</v>
      </c>
      <c r="HB10" s="9">
        <v>0</v>
      </c>
      <c r="HC10" s="9" t="s">
        <v>169</v>
      </c>
      <c r="HD10" s="9">
        <v>0</v>
      </c>
      <c r="HE10" s="9" t="s">
        <v>166</v>
      </c>
      <c r="HF10" s="9">
        <v>0</v>
      </c>
      <c r="HG10" s="9" t="s">
        <v>87</v>
      </c>
      <c r="HH10" s="9">
        <v>0</v>
      </c>
      <c r="HI10" s="9" t="s">
        <v>70</v>
      </c>
      <c r="HJ10" s="9">
        <v>0</v>
      </c>
      <c r="HK10" s="9" t="s">
        <v>173</v>
      </c>
      <c r="HL10" s="9">
        <v>0</v>
      </c>
      <c r="HM10" s="9" t="s">
        <v>48</v>
      </c>
      <c r="HN10" s="9">
        <v>0</v>
      </c>
      <c r="HO10" s="9" t="s">
        <v>193</v>
      </c>
      <c r="HP10" s="9">
        <v>0</v>
      </c>
      <c r="HQ10" s="9" t="s">
        <v>67</v>
      </c>
      <c r="HR10" s="9">
        <v>0</v>
      </c>
      <c r="HS10" s="9" t="s">
        <v>77</v>
      </c>
      <c r="HT10" s="9">
        <v>0</v>
      </c>
      <c r="HU10" s="9" t="s">
        <v>94</v>
      </c>
      <c r="HV10" s="9">
        <v>232.26615547082142</v>
      </c>
      <c r="HW10" s="9" t="s">
        <v>166</v>
      </c>
      <c r="HX10" s="9">
        <v>0</v>
      </c>
      <c r="HY10" s="9" t="s">
        <v>50</v>
      </c>
      <c r="HZ10" s="9">
        <v>837.38932865935271</v>
      </c>
      <c r="IA10" s="9" t="s">
        <v>179</v>
      </c>
      <c r="IB10" s="9">
        <v>0</v>
      </c>
      <c r="IC10" s="9" t="s">
        <v>119</v>
      </c>
      <c r="ID10" s="9">
        <v>547.79999999999995</v>
      </c>
      <c r="IE10" s="9" t="s">
        <v>25</v>
      </c>
      <c r="IF10" s="9">
        <v>0</v>
      </c>
      <c r="IG10" s="9" t="s">
        <v>37</v>
      </c>
      <c r="IH10" s="9">
        <v>31.6</v>
      </c>
      <c r="II10" s="9" t="s">
        <v>40</v>
      </c>
      <c r="IJ10" s="9">
        <v>0</v>
      </c>
      <c r="IK10" s="9" t="s">
        <v>32</v>
      </c>
      <c r="IL10" s="9">
        <v>0</v>
      </c>
      <c r="IM10" s="9" t="s">
        <v>36</v>
      </c>
      <c r="IN10" s="9">
        <v>0</v>
      </c>
      <c r="IO10" s="9" t="s">
        <v>126</v>
      </c>
      <c r="IP10" s="9">
        <v>512.5</v>
      </c>
      <c r="IQ10" s="9" t="s">
        <v>20</v>
      </c>
      <c r="IR10" s="9">
        <v>0</v>
      </c>
      <c r="IS10" s="9" t="s">
        <v>51</v>
      </c>
      <c r="IT10" s="9">
        <v>0</v>
      </c>
      <c r="IU10" s="9" t="s">
        <v>53</v>
      </c>
      <c r="IV10" s="9">
        <v>0</v>
      </c>
      <c r="IW10" s="9" t="s">
        <v>138</v>
      </c>
      <c r="IX10" s="9">
        <v>0</v>
      </c>
      <c r="IY10" s="9" t="s">
        <v>37</v>
      </c>
      <c r="IZ10" s="9">
        <v>31.6</v>
      </c>
      <c r="JA10" s="9" t="s">
        <v>102</v>
      </c>
      <c r="JB10" s="9">
        <v>0</v>
      </c>
      <c r="JC10" s="9" t="s">
        <v>46</v>
      </c>
      <c r="JD10" s="9">
        <v>0</v>
      </c>
      <c r="JE10" s="9" t="s">
        <v>199</v>
      </c>
      <c r="JF10" s="9">
        <v>0</v>
      </c>
      <c r="JG10" s="9" t="s">
        <v>102</v>
      </c>
      <c r="JH10" s="9">
        <v>0</v>
      </c>
      <c r="JI10" s="9" t="s">
        <v>165</v>
      </c>
      <c r="JJ10" s="9">
        <v>799.06957920465936</v>
      </c>
      <c r="JK10" s="9" t="s">
        <v>84</v>
      </c>
      <c r="JL10" s="9">
        <v>0</v>
      </c>
      <c r="JM10" s="9" t="s">
        <v>58</v>
      </c>
      <c r="JN10" s="9">
        <v>0</v>
      </c>
      <c r="JO10" s="9" t="s">
        <v>125</v>
      </c>
      <c r="JP10" s="9">
        <v>289.60000000000002</v>
      </c>
      <c r="JQ10" s="9" t="s">
        <v>200</v>
      </c>
      <c r="JR10" s="9">
        <v>0</v>
      </c>
      <c r="JS10" s="9" t="s">
        <v>101</v>
      </c>
      <c r="JT10" s="9">
        <v>625</v>
      </c>
      <c r="JU10" s="9" t="s">
        <v>35</v>
      </c>
      <c r="JV10" s="9">
        <v>0</v>
      </c>
      <c r="JW10" s="9" t="s">
        <v>76</v>
      </c>
      <c r="JX10" s="9">
        <v>0</v>
      </c>
      <c r="JY10" s="9" t="s">
        <v>130</v>
      </c>
      <c r="JZ10" s="9">
        <v>0</v>
      </c>
      <c r="KA10" s="9" t="s">
        <v>197</v>
      </c>
      <c r="KB10" s="9">
        <v>1000</v>
      </c>
      <c r="KC10" s="9" t="s">
        <v>64</v>
      </c>
      <c r="KD10" s="9">
        <v>0</v>
      </c>
      <c r="KE10" s="9" t="s">
        <v>194</v>
      </c>
      <c r="KF10" s="9">
        <v>0</v>
      </c>
      <c r="KG10" s="9" t="e">
        <f ca="1">INDEX(#REF!,RANDBETWEEN(1,176))</f>
        <v>#REF!</v>
      </c>
      <c r="KH10" s="9" t="e">
        <f ca="1">VLOOKUP($A10,#REF!,4,0)</f>
        <v>#REF!</v>
      </c>
      <c r="KI10" s="9" t="e">
        <f ca="1">INDEX(#REF!,RANDBETWEEN(1,176))</f>
        <v>#REF!</v>
      </c>
      <c r="KJ10" s="9" t="e">
        <f ca="1">VLOOKUP($A10,#REF!,4,0)</f>
        <v>#REF!</v>
      </c>
      <c r="KK10" s="9" t="e">
        <f ca="1">INDEX(#REF!,RANDBETWEEN(1,176))</f>
        <v>#REF!</v>
      </c>
      <c r="KL10" s="9" t="e">
        <f ca="1">VLOOKUP($A10,#REF!,4,0)</f>
        <v>#REF!</v>
      </c>
      <c r="KM10" s="9" t="e">
        <f ca="1">INDEX(#REF!,RANDBETWEEN(1,176))</f>
        <v>#REF!</v>
      </c>
      <c r="KN10" s="9" t="e">
        <f ca="1">VLOOKUP($A10,#REF!,4,0)</f>
        <v>#REF!</v>
      </c>
      <c r="KO10" s="9" t="e">
        <f ca="1">INDEX(#REF!,RANDBETWEEN(1,176))</f>
        <v>#REF!</v>
      </c>
      <c r="KP10" s="9" t="e">
        <f ca="1">VLOOKUP($A10,#REF!,4,0)</f>
        <v>#REF!</v>
      </c>
      <c r="KQ10" s="9" t="e">
        <f ca="1">INDEX(#REF!,RANDBETWEEN(1,176))</f>
        <v>#REF!</v>
      </c>
      <c r="KR10" s="9" t="e">
        <f ca="1">VLOOKUP($A10,#REF!,4,0)</f>
        <v>#REF!</v>
      </c>
      <c r="KS10" s="9" t="s">
        <v>106</v>
      </c>
      <c r="KT10" s="9">
        <v>0</v>
      </c>
      <c r="KU10" s="9" t="s">
        <v>52</v>
      </c>
      <c r="KV10" s="9">
        <v>0</v>
      </c>
      <c r="KW10" s="9" t="s">
        <v>22</v>
      </c>
      <c r="KX10" s="9">
        <v>0</v>
      </c>
      <c r="KY10" s="9" t="s">
        <v>144</v>
      </c>
      <c r="KZ10" s="9">
        <v>0</v>
      </c>
      <c r="LA10" s="9" t="s">
        <v>99</v>
      </c>
      <c r="LB10" s="9">
        <v>0</v>
      </c>
      <c r="LC10" s="9" t="s">
        <v>72</v>
      </c>
      <c r="LD10" s="9">
        <v>0</v>
      </c>
      <c r="LE10" s="9" t="s">
        <v>59</v>
      </c>
      <c r="LF10" s="9">
        <v>0</v>
      </c>
      <c r="LG10" s="9" t="s">
        <v>152</v>
      </c>
      <c r="LH10" s="9">
        <v>449.4</v>
      </c>
      <c r="LI10" s="9" t="s">
        <v>76</v>
      </c>
      <c r="LJ10" s="9">
        <v>0</v>
      </c>
      <c r="LK10" s="9" t="s">
        <v>88</v>
      </c>
      <c r="LL10" s="9">
        <v>0</v>
      </c>
      <c r="LM10" s="9" t="s">
        <v>185</v>
      </c>
      <c r="LN10" s="9">
        <v>0</v>
      </c>
      <c r="LO10" s="9" t="s">
        <v>62</v>
      </c>
      <c r="LP10" s="9">
        <v>0</v>
      </c>
      <c r="LQ10" s="9" t="s">
        <v>169</v>
      </c>
      <c r="LR10" s="9">
        <v>0</v>
      </c>
      <c r="LS10" s="9" t="s">
        <v>46</v>
      </c>
      <c r="LT10" s="9">
        <v>0</v>
      </c>
      <c r="LU10" s="9" t="s">
        <v>66</v>
      </c>
      <c r="LV10" s="9">
        <v>0</v>
      </c>
      <c r="LW10" s="9" t="s">
        <v>39</v>
      </c>
      <c r="LX10" s="9">
        <v>82</v>
      </c>
      <c r="LY10" s="9" t="s">
        <v>103</v>
      </c>
      <c r="LZ10" s="9">
        <v>436.07789852428124</v>
      </c>
      <c r="MA10" s="9" t="s">
        <v>35</v>
      </c>
      <c r="MB10" s="9">
        <v>0</v>
      </c>
      <c r="MC10" s="9" t="s">
        <v>51</v>
      </c>
      <c r="MD10" s="9">
        <v>0</v>
      </c>
      <c r="ME10" s="9" t="s">
        <v>40</v>
      </c>
      <c r="MF10" s="9">
        <v>0</v>
      </c>
      <c r="MG10" s="9" t="s">
        <v>181</v>
      </c>
      <c r="MH10" s="9">
        <v>0</v>
      </c>
      <c r="MI10" s="9" t="s">
        <v>86</v>
      </c>
      <c r="MJ10" s="9">
        <v>0</v>
      </c>
      <c r="MK10" s="9" t="s">
        <v>82</v>
      </c>
      <c r="ML10" s="9">
        <v>0</v>
      </c>
      <c r="MM10" s="9" t="s">
        <v>199</v>
      </c>
      <c r="MN10" s="9">
        <v>0</v>
      </c>
      <c r="MO10" s="9" t="s">
        <v>35</v>
      </c>
      <c r="MP10" s="9">
        <v>0</v>
      </c>
      <c r="MQ10" s="9" t="s">
        <v>36</v>
      </c>
      <c r="MR10" s="9">
        <v>0</v>
      </c>
      <c r="MS10" s="9" t="s">
        <v>34</v>
      </c>
      <c r="MT10" s="9">
        <v>0</v>
      </c>
      <c r="MU10" s="9" t="s">
        <v>35</v>
      </c>
      <c r="MV10" s="9">
        <v>0</v>
      </c>
      <c r="MW10" s="9" t="s">
        <v>183</v>
      </c>
      <c r="MX10" s="9">
        <v>0</v>
      </c>
      <c r="MY10" s="9" t="s">
        <v>121</v>
      </c>
      <c r="MZ10" s="9">
        <v>0</v>
      </c>
      <c r="NA10" s="9" t="s">
        <v>62</v>
      </c>
      <c r="NB10" s="9">
        <v>0</v>
      </c>
      <c r="NC10" s="9" t="s">
        <v>191</v>
      </c>
      <c r="ND10" s="9">
        <v>0</v>
      </c>
      <c r="NE10" s="9" t="s">
        <v>106</v>
      </c>
      <c r="NF10" s="9">
        <v>0</v>
      </c>
      <c r="NG10" s="9" t="s">
        <v>24</v>
      </c>
      <c r="NH10" s="9">
        <v>0</v>
      </c>
      <c r="NI10" s="9" t="s">
        <v>157</v>
      </c>
      <c r="NJ10" s="9">
        <v>0</v>
      </c>
      <c r="NK10" s="9" t="s">
        <v>125</v>
      </c>
      <c r="NL10" s="9">
        <v>289.60000000000002</v>
      </c>
      <c r="NM10" s="9" t="s">
        <v>101</v>
      </c>
      <c r="NN10" s="9">
        <v>625</v>
      </c>
      <c r="NO10" s="9" t="s">
        <v>189</v>
      </c>
      <c r="NP10" s="9">
        <v>0</v>
      </c>
      <c r="NQ10" s="9" t="s">
        <v>192</v>
      </c>
      <c r="NR10" s="9">
        <v>0</v>
      </c>
      <c r="NS10" s="9" t="s">
        <v>46</v>
      </c>
      <c r="NT10" s="9">
        <v>0</v>
      </c>
      <c r="NU10" s="9" t="s">
        <v>186</v>
      </c>
      <c r="NV10" s="9">
        <v>0</v>
      </c>
      <c r="NW10" s="9" t="s">
        <v>20</v>
      </c>
      <c r="NX10" s="9">
        <v>0</v>
      </c>
      <c r="NY10" s="9" t="s">
        <v>157</v>
      </c>
      <c r="NZ10" s="9">
        <v>0</v>
      </c>
      <c r="OA10" s="9" t="s">
        <v>76</v>
      </c>
      <c r="OB10" s="9">
        <v>0</v>
      </c>
      <c r="OC10" s="9" t="s">
        <v>121</v>
      </c>
      <c r="OD10" s="9">
        <v>0</v>
      </c>
      <c r="OE10" s="9" t="s">
        <v>94</v>
      </c>
      <c r="OF10" s="9">
        <v>232.26615547082142</v>
      </c>
      <c r="OG10" s="9" t="s">
        <v>152</v>
      </c>
      <c r="OH10" s="9">
        <v>449.4</v>
      </c>
      <c r="OI10" s="9" t="s">
        <v>146</v>
      </c>
      <c r="OJ10" s="9">
        <v>0</v>
      </c>
      <c r="OK10" s="9" t="s">
        <v>197</v>
      </c>
      <c r="OL10" s="9">
        <v>1000</v>
      </c>
      <c r="OM10" s="9" t="s">
        <v>158</v>
      </c>
      <c r="ON10" s="9">
        <v>0</v>
      </c>
      <c r="OO10" s="9" t="s">
        <v>164</v>
      </c>
      <c r="OP10" s="9">
        <v>0</v>
      </c>
      <c r="OQ10" s="9" t="s">
        <v>36</v>
      </c>
      <c r="OR10" s="9">
        <v>0</v>
      </c>
      <c r="OS10" s="9" t="s">
        <v>73</v>
      </c>
      <c r="OT10" s="9">
        <v>0</v>
      </c>
      <c r="OU10" s="9" t="s">
        <v>69</v>
      </c>
      <c r="OV10" s="9">
        <v>0</v>
      </c>
      <c r="OW10" s="9" t="s">
        <v>141</v>
      </c>
      <c r="OX10" s="9">
        <v>0</v>
      </c>
      <c r="OY10" s="9" t="s">
        <v>42</v>
      </c>
      <c r="OZ10" s="9">
        <v>0</v>
      </c>
      <c r="PA10" s="9" t="s">
        <v>88</v>
      </c>
      <c r="PB10" s="9">
        <v>0</v>
      </c>
      <c r="PC10" s="9" t="s">
        <v>137</v>
      </c>
      <c r="PD10" s="9">
        <v>0</v>
      </c>
      <c r="PE10" s="9" t="s">
        <v>72</v>
      </c>
      <c r="PF10" s="9">
        <v>0</v>
      </c>
      <c r="PG10" s="9" t="s">
        <v>103</v>
      </c>
      <c r="PH10" s="9">
        <v>436.07789852428124</v>
      </c>
      <c r="PI10" s="9" t="s">
        <v>168</v>
      </c>
      <c r="PJ10" s="9">
        <v>0</v>
      </c>
      <c r="PK10" s="9" t="s">
        <v>164</v>
      </c>
      <c r="PL10" s="9">
        <v>0</v>
      </c>
      <c r="PM10" s="9" t="s">
        <v>162</v>
      </c>
      <c r="PN10" s="9">
        <v>0</v>
      </c>
      <c r="PO10" s="9" t="s">
        <v>70</v>
      </c>
      <c r="PP10" s="9">
        <v>0</v>
      </c>
      <c r="PQ10" s="9" t="s">
        <v>177</v>
      </c>
      <c r="PR10" s="9">
        <v>0</v>
      </c>
      <c r="PS10" s="9" t="s">
        <v>96</v>
      </c>
      <c r="PT10" s="9">
        <v>0</v>
      </c>
      <c r="PU10" s="9" t="s">
        <v>101</v>
      </c>
      <c r="PV10" s="9">
        <v>625</v>
      </c>
      <c r="PW10" s="9" t="s">
        <v>146</v>
      </c>
      <c r="PX10" s="9">
        <v>0</v>
      </c>
      <c r="PY10" s="9" t="s">
        <v>51</v>
      </c>
      <c r="PZ10" s="9">
        <v>0</v>
      </c>
      <c r="QA10" s="9" t="s">
        <v>125</v>
      </c>
      <c r="QB10" s="9">
        <v>289.60000000000002</v>
      </c>
      <c r="QC10" s="9" t="s">
        <v>52</v>
      </c>
      <c r="QD10" s="9">
        <v>0</v>
      </c>
      <c r="QE10" s="9" t="s">
        <v>127</v>
      </c>
      <c r="QF10" s="9">
        <v>0</v>
      </c>
      <c r="QG10" s="9" t="s">
        <v>163</v>
      </c>
      <c r="QH10" s="9">
        <v>0</v>
      </c>
      <c r="QI10" s="9" t="s">
        <v>109</v>
      </c>
      <c r="QJ10" s="9">
        <v>0</v>
      </c>
      <c r="QK10" s="9" t="s">
        <v>151</v>
      </c>
      <c r="QL10" s="9">
        <v>232.26615547082142</v>
      </c>
      <c r="QM10" s="9" t="s">
        <v>123</v>
      </c>
      <c r="QN10" s="9">
        <v>0</v>
      </c>
      <c r="QO10" s="9" t="s">
        <v>84</v>
      </c>
      <c r="QP10" s="9">
        <v>0</v>
      </c>
      <c r="QQ10" s="9" t="s">
        <v>38</v>
      </c>
      <c r="QR10" s="9">
        <v>0</v>
      </c>
      <c r="QS10" s="9" t="s">
        <v>137</v>
      </c>
      <c r="QT10" s="9">
        <v>0</v>
      </c>
      <c r="QU10" s="9" t="s">
        <v>131</v>
      </c>
      <c r="QV10" s="9">
        <v>0</v>
      </c>
      <c r="QW10" s="9" t="s">
        <v>194</v>
      </c>
      <c r="QX10" s="9">
        <v>0</v>
      </c>
      <c r="QY10" s="9" t="s">
        <v>101</v>
      </c>
      <c r="QZ10" s="9">
        <v>625</v>
      </c>
      <c r="RA10" s="9" t="s">
        <v>110</v>
      </c>
      <c r="RB10" s="9">
        <v>0</v>
      </c>
      <c r="RC10" s="9" t="s">
        <v>38</v>
      </c>
      <c r="RD10" s="9">
        <v>0</v>
      </c>
      <c r="RE10" s="9" t="s">
        <v>57</v>
      </c>
      <c r="RF10" s="9">
        <v>0</v>
      </c>
      <c r="RG10" s="9" t="s">
        <v>58</v>
      </c>
      <c r="RH10" s="9">
        <v>0</v>
      </c>
      <c r="RI10" s="9" t="s">
        <v>50</v>
      </c>
      <c r="RJ10" s="9">
        <v>837.38932865935271</v>
      </c>
      <c r="RK10" s="9" t="s">
        <v>51</v>
      </c>
      <c r="RL10" s="9">
        <v>0</v>
      </c>
      <c r="RM10" s="9" t="s">
        <v>121</v>
      </c>
      <c r="RN10" s="9">
        <v>0</v>
      </c>
      <c r="RO10" s="9" t="s">
        <v>164</v>
      </c>
      <c r="RP10" s="9">
        <v>0</v>
      </c>
      <c r="RQ10" s="9" t="s">
        <v>110</v>
      </c>
      <c r="RR10" s="9">
        <v>0</v>
      </c>
      <c r="RS10" s="9" t="s">
        <v>15</v>
      </c>
      <c r="RT10" s="9">
        <v>0</v>
      </c>
      <c r="RU10" s="9" t="s">
        <v>119</v>
      </c>
      <c r="RV10" s="9">
        <v>547.79999999999995</v>
      </c>
      <c r="RW10" s="9" t="s">
        <v>177</v>
      </c>
      <c r="RX10" s="9">
        <v>0</v>
      </c>
      <c r="RY10" s="9" t="s">
        <v>181</v>
      </c>
      <c r="RZ10" s="9">
        <v>0</v>
      </c>
      <c r="SA10" s="9" t="s">
        <v>151</v>
      </c>
      <c r="SB10" s="9">
        <v>232.26615547082142</v>
      </c>
      <c r="SC10" s="9" t="s">
        <v>154</v>
      </c>
      <c r="SD10" s="9">
        <v>65.099999999999994</v>
      </c>
      <c r="SE10" s="9" t="s">
        <v>198</v>
      </c>
      <c r="SF10" s="9">
        <v>0</v>
      </c>
      <c r="SG10" s="9" t="s">
        <v>46</v>
      </c>
      <c r="SH10" s="9">
        <v>0</v>
      </c>
      <c r="SI10" s="9" t="s">
        <v>16</v>
      </c>
      <c r="SJ10" s="9">
        <v>400.79999999999995</v>
      </c>
    </row>
    <row r="11" spans="1:504" x14ac:dyDescent="0.25">
      <c r="A11" s="9" t="e">
        <f ca="1">INDEX(#REF!,RANDBETWEEN(1,176))</f>
        <v>#REF!</v>
      </c>
      <c r="B11" s="9" t="e">
        <f ca="1">VLOOKUP($A11,#REF!,4,0)</f>
        <v>#REF!</v>
      </c>
      <c r="D11" s="14" t="e">
        <f ca="1">$A$11</f>
        <v>#REF!</v>
      </c>
      <c r="E11" s="9" t="e">
        <f ca="1">VLOOKUP($D11,#REF!,4,0)</f>
        <v>#REF!</v>
      </c>
      <c r="G11" s="9" t="s">
        <v>143</v>
      </c>
      <c r="H11" s="9">
        <v>0</v>
      </c>
      <c r="I11" s="9" t="s">
        <v>195</v>
      </c>
      <c r="J11" s="9">
        <v>0</v>
      </c>
      <c r="K11" s="9" t="s">
        <v>42</v>
      </c>
      <c r="L11" s="9">
        <v>0</v>
      </c>
      <c r="M11" s="9" t="s">
        <v>78</v>
      </c>
      <c r="N11" s="9">
        <v>0</v>
      </c>
      <c r="O11" s="9" t="s">
        <v>47</v>
      </c>
      <c r="P11" s="9">
        <v>389.96562161946986</v>
      </c>
      <c r="Q11" s="9" t="s">
        <v>153</v>
      </c>
      <c r="R11" s="9">
        <v>0</v>
      </c>
      <c r="S11" s="9" t="s">
        <v>23</v>
      </c>
      <c r="T11" s="9">
        <v>680.40000000000009</v>
      </c>
      <c r="U11" s="9" t="s">
        <v>108</v>
      </c>
      <c r="V11" s="9">
        <v>0</v>
      </c>
      <c r="W11" s="9" t="s">
        <v>22</v>
      </c>
      <c r="X11" s="9">
        <v>0</v>
      </c>
      <c r="Y11" s="9" t="s">
        <v>145</v>
      </c>
      <c r="Z11" s="9">
        <v>509.05014022132127</v>
      </c>
      <c r="AA11" s="9" t="s">
        <v>53</v>
      </c>
      <c r="AB11" s="9">
        <v>0</v>
      </c>
      <c r="AC11" s="9" t="s">
        <v>194</v>
      </c>
      <c r="AD11" s="9">
        <v>0</v>
      </c>
      <c r="AE11" s="9" t="s">
        <v>169</v>
      </c>
      <c r="AF11" s="9">
        <v>0</v>
      </c>
      <c r="AG11" s="9" t="s">
        <v>37</v>
      </c>
      <c r="AH11" s="9">
        <v>31.6</v>
      </c>
      <c r="AI11" s="9" t="s">
        <v>172</v>
      </c>
      <c r="AJ11" s="9">
        <v>0</v>
      </c>
      <c r="AK11" s="9" t="s">
        <v>145</v>
      </c>
      <c r="AL11" s="9">
        <v>509.05014022132127</v>
      </c>
      <c r="AM11" s="9" t="s">
        <v>119</v>
      </c>
      <c r="AN11" s="9">
        <v>547.79999999999995</v>
      </c>
      <c r="AO11" s="9" t="s">
        <v>66</v>
      </c>
      <c r="AP11" s="9">
        <v>0</v>
      </c>
      <c r="AQ11" s="9" t="s">
        <v>153</v>
      </c>
      <c r="AR11" s="9">
        <v>0</v>
      </c>
      <c r="AS11" s="9" t="s">
        <v>40</v>
      </c>
      <c r="AT11" s="9">
        <v>0</v>
      </c>
      <c r="AU11" s="9" t="s">
        <v>131</v>
      </c>
      <c r="AV11" s="9">
        <v>0</v>
      </c>
      <c r="AW11" s="9" t="s">
        <v>71</v>
      </c>
      <c r="AX11" s="9">
        <v>0</v>
      </c>
      <c r="AY11" s="9" t="s">
        <v>196</v>
      </c>
      <c r="AZ11" s="9">
        <v>0</v>
      </c>
      <c r="BA11" s="9" t="s">
        <v>148</v>
      </c>
      <c r="BB11" s="9">
        <v>0</v>
      </c>
      <c r="BC11" s="9" t="s">
        <v>67</v>
      </c>
      <c r="BD11" s="9">
        <v>0</v>
      </c>
      <c r="BE11" s="9" t="s">
        <v>35</v>
      </c>
      <c r="BF11" s="9">
        <v>0</v>
      </c>
      <c r="BG11" s="9" t="s">
        <v>33</v>
      </c>
      <c r="BH11" s="9">
        <v>20.100000000000001</v>
      </c>
      <c r="BI11" s="9" t="s">
        <v>148</v>
      </c>
      <c r="BJ11" s="9">
        <v>0</v>
      </c>
      <c r="BK11" s="9" t="s">
        <v>70</v>
      </c>
      <c r="BL11" s="9">
        <v>0</v>
      </c>
      <c r="BM11" s="9" t="s">
        <v>40</v>
      </c>
      <c r="BN11" s="9">
        <v>0</v>
      </c>
      <c r="BO11" s="9" t="s">
        <v>44</v>
      </c>
      <c r="BP11" s="9">
        <v>0</v>
      </c>
      <c r="BQ11" s="9" t="s">
        <v>184</v>
      </c>
      <c r="BR11" s="9">
        <v>0</v>
      </c>
      <c r="BS11" s="9" t="s">
        <v>132</v>
      </c>
      <c r="BT11" s="9">
        <v>0</v>
      </c>
      <c r="BU11" s="9" t="s">
        <v>45</v>
      </c>
      <c r="BV11" s="9">
        <v>549.59321095902715</v>
      </c>
      <c r="BW11" s="9" t="s">
        <v>34</v>
      </c>
      <c r="BX11" s="9">
        <v>0</v>
      </c>
      <c r="BY11" s="9" t="s">
        <v>120</v>
      </c>
      <c r="BZ11" s="9">
        <v>0</v>
      </c>
      <c r="CA11" s="9" t="s">
        <v>169</v>
      </c>
      <c r="CB11" s="9">
        <v>0</v>
      </c>
      <c r="CC11" s="9" t="s">
        <v>147</v>
      </c>
      <c r="CD11" s="9">
        <v>0</v>
      </c>
      <c r="CE11" s="9" t="s">
        <v>70</v>
      </c>
      <c r="CF11" s="9">
        <v>0</v>
      </c>
      <c r="CG11" s="9" t="s">
        <v>150</v>
      </c>
      <c r="CH11" s="9">
        <v>0</v>
      </c>
      <c r="CI11" s="9" t="s">
        <v>68</v>
      </c>
      <c r="CJ11" s="9">
        <v>250</v>
      </c>
      <c r="CK11" s="9" t="s">
        <v>43</v>
      </c>
      <c r="CL11" s="9">
        <v>929.06462188328567</v>
      </c>
      <c r="CM11" s="9" t="s">
        <v>165</v>
      </c>
      <c r="CN11" s="9">
        <v>799.06957920465936</v>
      </c>
      <c r="CO11" s="9" t="s">
        <v>96</v>
      </c>
      <c r="CP11" s="9">
        <v>0</v>
      </c>
      <c r="CQ11" s="9" t="s">
        <v>81</v>
      </c>
      <c r="CR11" s="9">
        <v>0</v>
      </c>
      <c r="CS11" s="9" t="s">
        <v>17</v>
      </c>
      <c r="CT11" s="9">
        <v>148.79999999999998</v>
      </c>
      <c r="CU11" s="9" t="s">
        <v>25</v>
      </c>
      <c r="CV11" s="9">
        <v>0</v>
      </c>
      <c r="CW11" s="9" t="s">
        <v>199</v>
      </c>
      <c r="CX11" s="9">
        <v>0</v>
      </c>
      <c r="CY11" s="9" t="s">
        <v>89</v>
      </c>
      <c r="CZ11" s="9">
        <v>0</v>
      </c>
      <c r="DA11" s="9" t="s">
        <v>80</v>
      </c>
      <c r="DB11" s="9">
        <v>0</v>
      </c>
      <c r="DC11" s="9" t="s">
        <v>150</v>
      </c>
      <c r="DD11" s="9">
        <v>0</v>
      </c>
      <c r="DE11" s="9" t="s">
        <v>162</v>
      </c>
      <c r="DF11" s="9">
        <v>0</v>
      </c>
      <c r="DG11" s="9" t="s">
        <v>101</v>
      </c>
      <c r="DH11" s="9">
        <v>625</v>
      </c>
      <c r="DI11" s="9" t="s">
        <v>126</v>
      </c>
      <c r="DJ11" s="9">
        <v>512.5</v>
      </c>
      <c r="DK11" s="9" t="s">
        <v>21</v>
      </c>
      <c r="DL11" s="9">
        <v>0</v>
      </c>
      <c r="DM11" s="9" t="s">
        <v>189</v>
      </c>
      <c r="DN11" s="9">
        <v>0</v>
      </c>
      <c r="DO11" s="9" t="s">
        <v>50</v>
      </c>
      <c r="DP11" s="9">
        <v>837.38932865935271</v>
      </c>
      <c r="DQ11" s="9" t="s">
        <v>48</v>
      </c>
      <c r="DR11" s="9">
        <v>0</v>
      </c>
      <c r="DS11" s="9" t="s">
        <v>181</v>
      </c>
      <c r="DT11" s="9">
        <v>0</v>
      </c>
      <c r="DU11" s="9" t="s">
        <v>73</v>
      </c>
      <c r="DV11" s="9">
        <v>0</v>
      </c>
      <c r="DW11" s="9" t="s">
        <v>19</v>
      </c>
      <c r="DX11" s="9">
        <v>608.40000000000009</v>
      </c>
      <c r="DY11" s="9" t="s">
        <v>165</v>
      </c>
      <c r="DZ11" s="9">
        <v>799.06957920465936</v>
      </c>
      <c r="EA11" s="9" t="s">
        <v>90</v>
      </c>
      <c r="EB11" s="9">
        <v>0</v>
      </c>
      <c r="EC11" s="9" t="s">
        <v>200</v>
      </c>
      <c r="ED11" s="9">
        <v>0</v>
      </c>
      <c r="EE11" s="9" t="s">
        <v>74</v>
      </c>
      <c r="EF11" s="9">
        <v>0</v>
      </c>
      <c r="EG11" s="9" t="s">
        <v>52</v>
      </c>
      <c r="EH11" s="9">
        <v>0</v>
      </c>
      <c r="EI11" s="9" t="s">
        <v>174</v>
      </c>
      <c r="EJ11" s="9">
        <v>0</v>
      </c>
      <c r="EK11" s="9" t="s">
        <v>125</v>
      </c>
      <c r="EL11" s="9">
        <v>289.60000000000002</v>
      </c>
      <c r="EM11" s="9" t="s">
        <v>177</v>
      </c>
      <c r="EN11" s="9">
        <v>0</v>
      </c>
      <c r="EO11" s="9" t="s">
        <v>54</v>
      </c>
      <c r="EP11" s="9">
        <v>27.2</v>
      </c>
      <c r="EQ11" s="9" t="s">
        <v>24</v>
      </c>
      <c r="ER11" s="9">
        <v>0</v>
      </c>
      <c r="ES11" s="9" t="s">
        <v>126</v>
      </c>
      <c r="ET11" s="9">
        <v>512.5</v>
      </c>
      <c r="EU11" s="9" t="s">
        <v>184</v>
      </c>
      <c r="EV11" s="9">
        <v>0</v>
      </c>
      <c r="EW11" s="9" t="s">
        <v>75</v>
      </c>
      <c r="EX11" s="9">
        <v>0</v>
      </c>
      <c r="EY11" s="9" t="s">
        <v>102</v>
      </c>
      <c r="EZ11" s="9">
        <v>0</v>
      </c>
      <c r="FA11" s="9" t="s">
        <v>33</v>
      </c>
      <c r="FB11" s="9">
        <v>20.100000000000001</v>
      </c>
      <c r="FC11" s="9" t="s">
        <v>136</v>
      </c>
      <c r="FD11" s="9">
        <v>413.4</v>
      </c>
      <c r="FE11" s="9" t="s">
        <v>57</v>
      </c>
      <c r="FF11" s="9">
        <v>0</v>
      </c>
      <c r="FG11" s="9" t="s">
        <v>14</v>
      </c>
      <c r="FH11" s="9">
        <v>0</v>
      </c>
      <c r="FI11" s="9" t="s">
        <v>131</v>
      </c>
      <c r="FJ11" s="9">
        <v>0</v>
      </c>
      <c r="FK11" s="9" t="s">
        <v>63</v>
      </c>
      <c r="FL11" s="9">
        <v>0</v>
      </c>
      <c r="FM11" s="9" t="s">
        <v>51</v>
      </c>
      <c r="FN11" s="9">
        <v>0</v>
      </c>
      <c r="FO11" s="9" t="s">
        <v>157</v>
      </c>
      <c r="FP11" s="9">
        <v>0</v>
      </c>
      <c r="FQ11" s="9" t="s">
        <v>149</v>
      </c>
      <c r="FR11" s="9">
        <v>851.64257005967852</v>
      </c>
      <c r="FS11" s="9" t="s">
        <v>14</v>
      </c>
      <c r="FT11" s="9">
        <v>0</v>
      </c>
      <c r="FU11" s="9" t="s">
        <v>145</v>
      </c>
      <c r="FV11" s="9">
        <v>509.05014022132127</v>
      </c>
      <c r="FW11" s="9" t="s">
        <v>85</v>
      </c>
      <c r="FX11" s="9">
        <v>0</v>
      </c>
      <c r="FY11" s="9" t="s">
        <v>171</v>
      </c>
      <c r="FZ11" s="9">
        <v>0</v>
      </c>
      <c r="GA11" s="9" t="s">
        <v>54</v>
      </c>
      <c r="GB11" s="9">
        <v>27.2</v>
      </c>
      <c r="GC11" s="9" t="s">
        <v>184</v>
      </c>
      <c r="GD11" s="9">
        <v>0</v>
      </c>
      <c r="GE11" s="9" t="s">
        <v>126</v>
      </c>
      <c r="GF11" s="9">
        <v>512.5</v>
      </c>
      <c r="GG11" s="9" t="s">
        <v>85</v>
      </c>
      <c r="GH11" s="9">
        <v>0</v>
      </c>
      <c r="GI11" s="9" t="s">
        <v>30</v>
      </c>
      <c r="GJ11" s="9">
        <v>196.8</v>
      </c>
      <c r="GK11" s="9" t="s">
        <v>199</v>
      </c>
      <c r="GL11" s="9">
        <v>0</v>
      </c>
      <c r="GM11" s="9" t="s">
        <v>121</v>
      </c>
      <c r="GN11" s="9">
        <v>0</v>
      </c>
      <c r="GO11" s="9" t="s">
        <v>173</v>
      </c>
      <c r="GP11" s="9">
        <v>0</v>
      </c>
      <c r="GQ11" s="9" t="s">
        <v>195</v>
      </c>
      <c r="GR11" s="9">
        <v>0</v>
      </c>
      <c r="GS11" s="9" t="s">
        <v>35</v>
      </c>
      <c r="GT11" s="9">
        <v>0</v>
      </c>
      <c r="GU11" s="9" t="s">
        <v>174</v>
      </c>
      <c r="GV11" s="9">
        <v>0</v>
      </c>
      <c r="GW11" s="9" t="s">
        <v>174</v>
      </c>
      <c r="GX11" s="9">
        <v>0</v>
      </c>
      <c r="GY11" s="9" t="s">
        <v>171</v>
      </c>
      <c r="GZ11" s="9">
        <v>0</v>
      </c>
      <c r="HA11" s="9" t="s">
        <v>198</v>
      </c>
      <c r="HB11" s="9">
        <v>0</v>
      </c>
      <c r="HC11" s="9" t="s">
        <v>98</v>
      </c>
      <c r="HD11" s="9">
        <v>0</v>
      </c>
      <c r="HE11" s="9" t="s">
        <v>119</v>
      </c>
      <c r="HF11" s="9">
        <v>547.79999999999995</v>
      </c>
      <c r="HG11" s="9" t="s">
        <v>139</v>
      </c>
      <c r="HH11" s="9">
        <v>0</v>
      </c>
      <c r="HI11" s="9" t="s">
        <v>77</v>
      </c>
      <c r="HJ11" s="9">
        <v>0</v>
      </c>
      <c r="HK11" s="9" t="s">
        <v>170</v>
      </c>
      <c r="HL11" s="9">
        <v>0</v>
      </c>
      <c r="HM11" s="9" t="s">
        <v>87</v>
      </c>
      <c r="HN11" s="9">
        <v>0</v>
      </c>
      <c r="HO11" s="9" t="s">
        <v>168</v>
      </c>
      <c r="HP11" s="9">
        <v>0</v>
      </c>
      <c r="HQ11" s="9" t="s">
        <v>151</v>
      </c>
      <c r="HR11" s="9">
        <v>232.26615547082142</v>
      </c>
      <c r="HS11" s="9" t="s">
        <v>35</v>
      </c>
      <c r="HT11" s="9">
        <v>0</v>
      </c>
      <c r="HU11" s="9" t="s">
        <v>195</v>
      </c>
      <c r="HV11" s="9">
        <v>0</v>
      </c>
      <c r="HW11" s="9" t="s">
        <v>119</v>
      </c>
      <c r="HX11" s="9">
        <v>547.79999999999995</v>
      </c>
      <c r="HY11" s="9" t="s">
        <v>15</v>
      </c>
      <c r="HZ11" s="9">
        <v>0</v>
      </c>
      <c r="IA11" s="9" t="s">
        <v>137</v>
      </c>
      <c r="IB11" s="9">
        <v>0</v>
      </c>
      <c r="IC11" s="9" t="s">
        <v>36</v>
      </c>
      <c r="ID11" s="9">
        <v>0</v>
      </c>
      <c r="IE11" s="9" t="s">
        <v>35</v>
      </c>
      <c r="IF11" s="9">
        <v>0</v>
      </c>
      <c r="IG11" s="9" t="s">
        <v>168</v>
      </c>
      <c r="IH11" s="9">
        <v>0</v>
      </c>
      <c r="II11" s="9" t="s">
        <v>102</v>
      </c>
      <c r="IJ11" s="9">
        <v>0</v>
      </c>
      <c r="IK11" s="9" t="s">
        <v>136</v>
      </c>
      <c r="IL11" s="9">
        <v>413.4</v>
      </c>
      <c r="IM11" s="9" t="s">
        <v>164</v>
      </c>
      <c r="IN11" s="9">
        <v>0</v>
      </c>
      <c r="IO11" s="9" t="s">
        <v>171</v>
      </c>
      <c r="IP11" s="9">
        <v>0</v>
      </c>
      <c r="IQ11" s="9" t="s">
        <v>60</v>
      </c>
      <c r="IR11" s="9">
        <v>0</v>
      </c>
      <c r="IS11" s="9" t="s">
        <v>28</v>
      </c>
      <c r="IT11" s="9">
        <v>618.79999999999995</v>
      </c>
      <c r="IU11" s="9" t="s">
        <v>55</v>
      </c>
      <c r="IV11" s="9">
        <v>0</v>
      </c>
      <c r="IW11" s="9" t="s">
        <v>152</v>
      </c>
      <c r="IX11" s="9">
        <v>449.4</v>
      </c>
      <c r="IY11" s="9" t="s">
        <v>128</v>
      </c>
      <c r="IZ11" s="9">
        <v>322.5</v>
      </c>
      <c r="JA11" s="9" t="s">
        <v>47</v>
      </c>
      <c r="JB11" s="9">
        <v>389.96562161946986</v>
      </c>
      <c r="JC11" s="9" t="s">
        <v>123</v>
      </c>
      <c r="JD11" s="9">
        <v>0</v>
      </c>
      <c r="JE11" s="9" t="s">
        <v>100</v>
      </c>
      <c r="JF11" s="9">
        <v>0</v>
      </c>
      <c r="JG11" s="9" t="s">
        <v>51</v>
      </c>
      <c r="JH11" s="9">
        <v>0</v>
      </c>
      <c r="JI11" s="9" t="s">
        <v>152</v>
      </c>
      <c r="JJ11" s="9">
        <v>449.4</v>
      </c>
      <c r="JK11" s="9" t="s">
        <v>86</v>
      </c>
      <c r="JL11" s="9">
        <v>0</v>
      </c>
      <c r="JM11" s="9" t="s">
        <v>29</v>
      </c>
      <c r="JN11" s="9">
        <v>0</v>
      </c>
      <c r="JO11" s="9" t="s">
        <v>46</v>
      </c>
      <c r="JP11" s="9">
        <v>0</v>
      </c>
      <c r="JQ11" s="9" t="s">
        <v>33</v>
      </c>
      <c r="JR11" s="9">
        <v>20.100000000000001</v>
      </c>
      <c r="JS11" s="9" t="s">
        <v>69</v>
      </c>
      <c r="JT11" s="9">
        <v>0</v>
      </c>
      <c r="JU11" s="9" t="s">
        <v>33</v>
      </c>
      <c r="JV11" s="9">
        <v>20.100000000000001</v>
      </c>
      <c r="JW11" s="9" t="s">
        <v>151</v>
      </c>
      <c r="JX11" s="9">
        <v>232.26615547082142</v>
      </c>
      <c r="JY11" s="9" t="s">
        <v>14</v>
      </c>
      <c r="JZ11" s="9">
        <v>0</v>
      </c>
      <c r="KA11" s="9" t="s">
        <v>48</v>
      </c>
      <c r="KB11" s="9">
        <v>0</v>
      </c>
      <c r="KC11" s="9" t="s">
        <v>90</v>
      </c>
      <c r="KD11" s="9">
        <v>0</v>
      </c>
      <c r="KE11" s="9" t="s">
        <v>106</v>
      </c>
      <c r="KF11" s="9">
        <v>0</v>
      </c>
      <c r="KG11" s="9" t="e">
        <f ca="1">INDEX(#REF!,RANDBETWEEN(1,176))</f>
        <v>#REF!</v>
      </c>
      <c r="KH11" s="9" t="e">
        <f ca="1">VLOOKUP($A11,#REF!,4,0)</f>
        <v>#REF!</v>
      </c>
      <c r="KI11" s="9" t="e">
        <f ca="1">INDEX(#REF!,RANDBETWEEN(1,176))</f>
        <v>#REF!</v>
      </c>
      <c r="KJ11" s="9" t="e">
        <f ca="1">VLOOKUP($A11,#REF!,4,0)</f>
        <v>#REF!</v>
      </c>
      <c r="KK11" s="9" t="e">
        <f ca="1">INDEX(#REF!,RANDBETWEEN(1,176))</f>
        <v>#REF!</v>
      </c>
      <c r="KL11" s="9" t="e">
        <f ca="1">VLOOKUP($A11,#REF!,4,0)</f>
        <v>#REF!</v>
      </c>
      <c r="KM11" s="9" t="e">
        <f ca="1">INDEX(#REF!,RANDBETWEEN(1,176))</f>
        <v>#REF!</v>
      </c>
      <c r="KN11" s="9" t="e">
        <f ca="1">VLOOKUP($A11,#REF!,4,0)</f>
        <v>#REF!</v>
      </c>
      <c r="KO11" s="9" t="e">
        <f ca="1">INDEX(#REF!,RANDBETWEEN(1,176))</f>
        <v>#REF!</v>
      </c>
      <c r="KP11" s="9" t="e">
        <f ca="1">VLOOKUP($A11,#REF!,4,0)</f>
        <v>#REF!</v>
      </c>
      <c r="KQ11" s="9" t="e">
        <f ca="1">INDEX(#REF!,RANDBETWEEN(1,176))</f>
        <v>#REF!</v>
      </c>
      <c r="KR11" s="9" t="e">
        <f ca="1">VLOOKUP($A11,#REF!,4,0)</f>
        <v>#REF!</v>
      </c>
      <c r="KS11" s="9" t="s">
        <v>185</v>
      </c>
      <c r="KT11" s="9">
        <v>0</v>
      </c>
      <c r="KU11" s="9" t="s">
        <v>71</v>
      </c>
      <c r="KV11" s="9">
        <v>0</v>
      </c>
      <c r="KW11" s="9" t="s">
        <v>137</v>
      </c>
      <c r="KX11" s="9">
        <v>0</v>
      </c>
      <c r="KY11" s="9" t="s">
        <v>157</v>
      </c>
      <c r="KZ11" s="9">
        <v>0</v>
      </c>
      <c r="LA11" s="9" t="s">
        <v>76</v>
      </c>
      <c r="LB11" s="9">
        <v>0</v>
      </c>
      <c r="LC11" s="9" t="s">
        <v>137</v>
      </c>
      <c r="LD11" s="9">
        <v>0</v>
      </c>
      <c r="LE11" s="9" t="s">
        <v>22</v>
      </c>
      <c r="LF11" s="9">
        <v>0</v>
      </c>
      <c r="LG11" s="9" t="s">
        <v>193</v>
      </c>
      <c r="LH11" s="9">
        <v>0</v>
      </c>
      <c r="LI11" s="9" t="s">
        <v>188</v>
      </c>
      <c r="LJ11" s="9">
        <v>1751.0631565987637</v>
      </c>
      <c r="LK11" s="9" t="s">
        <v>84</v>
      </c>
      <c r="LL11" s="9">
        <v>0</v>
      </c>
      <c r="LM11" s="9" t="s">
        <v>158</v>
      </c>
      <c r="LN11" s="9">
        <v>0</v>
      </c>
      <c r="LO11" s="9" t="s">
        <v>187</v>
      </c>
      <c r="LP11" s="9">
        <v>0</v>
      </c>
      <c r="LQ11" s="9" t="s">
        <v>35</v>
      </c>
      <c r="LR11" s="9">
        <v>0</v>
      </c>
      <c r="LS11" s="9" t="s">
        <v>189</v>
      </c>
      <c r="LT11" s="9">
        <v>0</v>
      </c>
      <c r="LU11" s="9" t="s">
        <v>131</v>
      </c>
      <c r="LV11" s="9">
        <v>0</v>
      </c>
      <c r="LW11" s="9" t="s">
        <v>190</v>
      </c>
      <c r="LX11" s="9">
        <v>0</v>
      </c>
      <c r="LY11" s="9" t="s">
        <v>38</v>
      </c>
      <c r="LZ11" s="9">
        <v>0</v>
      </c>
      <c r="MA11" s="9" t="s">
        <v>191</v>
      </c>
      <c r="MB11" s="9">
        <v>0</v>
      </c>
      <c r="MC11" s="9" t="s">
        <v>43</v>
      </c>
      <c r="MD11" s="9">
        <v>929.06462188328567</v>
      </c>
      <c r="ME11" s="9" t="s">
        <v>57</v>
      </c>
      <c r="MF11" s="9">
        <v>0</v>
      </c>
      <c r="MG11" s="9" t="s">
        <v>35</v>
      </c>
      <c r="MH11" s="9">
        <v>0</v>
      </c>
      <c r="MI11" s="9" t="s">
        <v>24</v>
      </c>
      <c r="MJ11" s="9">
        <v>0</v>
      </c>
      <c r="MK11" s="9" t="s">
        <v>123</v>
      </c>
      <c r="ML11" s="9">
        <v>0</v>
      </c>
      <c r="MM11" s="9" t="s">
        <v>176</v>
      </c>
      <c r="MN11" s="9">
        <v>0</v>
      </c>
      <c r="MO11" s="9" t="s">
        <v>71</v>
      </c>
      <c r="MP11" s="9">
        <v>0</v>
      </c>
      <c r="MQ11" s="9" t="s">
        <v>60</v>
      </c>
      <c r="MR11" s="9">
        <v>0</v>
      </c>
      <c r="MS11" s="9" t="s">
        <v>123</v>
      </c>
      <c r="MT11" s="9">
        <v>0</v>
      </c>
      <c r="MU11" s="9" t="s">
        <v>40</v>
      </c>
      <c r="MV11" s="9">
        <v>0</v>
      </c>
      <c r="MW11" s="9" t="s">
        <v>123</v>
      </c>
      <c r="MX11" s="9">
        <v>0</v>
      </c>
      <c r="MY11" s="9" t="s">
        <v>151</v>
      </c>
      <c r="MZ11" s="9">
        <v>232.26615547082142</v>
      </c>
      <c r="NA11" s="9" t="s">
        <v>134</v>
      </c>
      <c r="NB11" s="9">
        <v>1635.2921194660546</v>
      </c>
      <c r="NC11" s="9" t="s">
        <v>62</v>
      </c>
      <c r="ND11" s="9">
        <v>0</v>
      </c>
      <c r="NE11" s="9" t="s">
        <v>54</v>
      </c>
      <c r="NF11" s="9">
        <v>27.2</v>
      </c>
      <c r="NG11" s="9" t="s">
        <v>87</v>
      </c>
      <c r="NH11" s="9">
        <v>0</v>
      </c>
      <c r="NI11" s="9" t="s">
        <v>131</v>
      </c>
      <c r="NJ11" s="9">
        <v>0</v>
      </c>
      <c r="NK11" s="9" t="s">
        <v>125</v>
      </c>
      <c r="NL11" s="9">
        <v>289.60000000000002</v>
      </c>
      <c r="NM11" s="9" t="s">
        <v>34</v>
      </c>
      <c r="NN11" s="9">
        <v>0</v>
      </c>
      <c r="NO11" s="9" t="s">
        <v>153</v>
      </c>
      <c r="NP11" s="9">
        <v>0</v>
      </c>
      <c r="NQ11" s="9" t="s">
        <v>189</v>
      </c>
      <c r="NR11" s="9">
        <v>0</v>
      </c>
      <c r="NS11" s="9" t="s">
        <v>122</v>
      </c>
      <c r="NT11" s="9">
        <v>0</v>
      </c>
      <c r="NU11" s="9" t="s">
        <v>148</v>
      </c>
      <c r="NV11" s="9">
        <v>0</v>
      </c>
      <c r="NW11" s="9" t="s">
        <v>108</v>
      </c>
      <c r="NX11" s="9">
        <v>0</v>
      </c>
      <c r="NY11" s="9" t="s">
        <v>182</v>
      </c>
      <c r="NZ11" s="9">
        <v>0</v>
      </c>
      <c r="OA11" s="9" t="s">
        <v>143</v>
      </c>
      <c r="OB11" s="9">
        <v>0</v>
      </c>
      <c r="OC11" s="9" t="s">
        <v>59</v>
      </c>
      <c r="OD11" s="9">
        <v>0</v>
      </c>
      <c r="OE11" s="9" t="s">
        <v>51</v>
      </c>
      <c r="OF11" s="9">
        <v>0</v>
      </c>
      <c r="OG11" s="9" t="s">
        <v>110</v>
      </c>
      <c r="OH11" s="9">
        <v>0</v>
      </c>
      <c r="OI11" s="9" t="s">
        <v>34</v>
      </c>
      <c r="OJ11" s="9">
        <v>0</v>
      </c>
      <c r="OK11" s="9" t="s">
        <v>49</v>
      </c>
      <c r="OL11" s="9">
        <v>0</v>
      </c>
      <c r="OM11" s="9" t="s">
        <v>109</v>
      </c>
      <c r="ON11" s="9">
        <v>0</v>
      </c>
      <c r="OO11" s="9" t="s">
        <v>138</v>
      </c>
      <c r="OP11" s="9">
        <v>0</v>
      </c>
      <c r="OQ11" s="9" t="s">
        <v>22</v>
      </c>
      <c r="OR11" s="9">
        <v>0</v>
      </c>
      <c r="OS11" s="9" t="s">
        <v>171</v>
      </c>
      <c r="OT11" s="9">
        <v>0</v>
      </c>
      <c r="OU11" s="9" t="s">
        <v>85</v>
      </c>
      <c r="OV11" s="9">
        <v>0</v>
      </c>
      <c r="OW11" s="9" t="s">
        <v>59</v>
      </c>
      <c r="OX11" s="9">
        <v>0</v>
      </c>
      <c r="OY11" s="9" t="s">
        <v>198</v>
      </c>
      <c r="OZ11" s="9">
        <v>0</v>
      </c>
      <c r="PA11" s="9" t="s">
        <v>65</v>
      </c>
      <c r="PB11" s="9">
        <v>0</v>
      </c>
      <c r="PC11" s="9" t="s">
        <v>104</v>
      </c>
      <c r="PD11" s="9">
        <v>0</v>
      </c>
      <c r="PE11" s="9" t="s">
        <v>167</v>
      </c>
      <c r="PF11" s="9">
        <v>0</v>
      </c>
      <c r="PG11" s="9" t="s">
        <v>26</v>
      </c>
      <c r="PH11" s="9">
        <v>382.5</v>
      </c>
      <c r="PI11" s="9" t="s">
        <v>99</v>
      </c>
      <c r="PJ11" s="9">
        <v>0</v>
      </c>
      <c r="PK11" s="9" t="s">
        <v>47</v>
      </c>
      <c r="PL11" s="9">
        <v>389.96562161946986</v>
      </c>
      <c r="PM11" s="9" t="s">
        <v>78</v>
      </c>
      <c r="PN11" s="9">
        <v>0</v>
      </c>
      <c r="PO11" s="9" t="s">
        <v>27</v>
      </c>
      <c r="PP11" s="9">
        <v>22.6</v>
      </c>
      <c r="PQ11" s="9" t="s">
        <v>99</v>
      </c>
      <c r="PR11" s="9">
        <v>0</v>
      </c>
      <c r="PS11" s="9" t="s">
        <v>79</v>
      </c>
      <c r="PT11" s="9">
        <v>0</v>
      </c>
      <c r="PU11" s="9" t="s">
        <v>35</v>
      </c>
      <c r="PV11" s="9">
        <v>0</v>
      </c>
      <c r="PW11" s="9" t="s">
        <v>53</v>
      </c>
      <c r="PX11" s="9">
        <v>0</v>
      </c>
      <c r="PY11" s="9" t="s">
        <v>69</v>
      </c>
      <c r="PZ11" s="9">
        <v>0</v>
      </c>
      <c r="QA11" s="9" t="s">
        <v>197</v>
      </c>
      <c r="QB11" s="9">
        <v>1000</v>
      </c>
      <c r="QC11" s="9" t="s">
        <v>50</v>
      </c>
      <c r="QD11" s="9">
        <v>837.38932865935271</v>
      </c>
      <c r="QE11" s="9" t="s">
        <v>59</v>
      </c>
      <c r="QF11" s="9">
        <v>0</v>
      </c>
      <c r="QG11" s="9" t="s">
        <v>14</v>
      </c>
      <c r="QH11" s="9">
        <v>0</v>
      </c>
      <c r="QI11" s="9" t="s">
        <v>164</v>
      </c>
      <c r="QJ11" s="9">
        <v>0</v>
      </c>
      <c r="QK11" s="9" t="s">
        <v>70</v>
      </c>
      <c r="QL11" s="9">
        <v>0</v>
      </c>
      <c r="QM11" s="9" t="s">
        <v>154</v>
      </c>
      <c r="QN11" s="9">
        <v>65.099999999999994</v>
      </c>
      <c r="QO11" s="9" t="s">
        <v>54</v>
      </c>
      <c r="QP11" s="9">
        <v>27.2</v>
      </c>
      <c r="QQ11" s="9" t="s">
        <v>167</v>
      </c>
      <c r="QR11" s="9">
        <v>0</v>
      </c>
      <c r="QS11" s="9" t="s">
        <v>135</v>
      </c>
      <c r="QT11" s="9">
        <v>0</v>
      </c>
      <c r="QU11" s="9" t="s">
        <v>19</v>
      </c>
      <c r="QV11" s="9">
        <v>608.40000000000009</v>
      </c>
      <c r="QW11" s="9" t="s">
        <v>15</v>
      </c>
      <c r="QX11" s="9">
        <v>0</v>
      </c>
      <c r="QY11" s="9" t="s">
        <v>50</v>
      </c>
      <c r="QZ11" s="9">
        <v>837.38932865935271</v>
      </c>
      <c r="RA11" s="9" t="s">
        <v>164</v>
      </c>
      <c r="RB11" s="9">
        <v>0</v>
      </c>
      <c r="RC11" s="9" t="s">
        <v>88</v>
      </c>
      <c r="RD11" s="9">
        <v>0</v>
      </c>
      <c r="RE11" s="9" t="s">
        <v>34</v>
      </c>
      <c r="RF11" s="9">
        <v>0</v>
      </c>
      <c r="RG11" s="9" t="s">
        <v>177</v>
      </c>
      <c r="RH11" s="9">
        <v>0</v>
      </c>
      <c r="RI11" s="9" t="s">
        <v>139</v>
      </c>
      <c r="RJ11" s="9">
        <v>0</v>
      </c>
      <c r="RK11" s="9" t="s">
        <v>176</v>
      </c>
      <c r="RL11" s="9">
        <v>0</v>
      </c>
      <c r="RM11" s="9" t="s">
        <v>19</v>
      </c>
      <c r="RN11" s="9">
        <v>608.40000000000009</v>
      </c>
      <c r="RO11" s="9" t="s">
        <v>89</v>
      </c>
      <c r="RP11" s="9">
        <v>0</v>
      </c>
      <c r="RQ11" s="9" t="s">
        <v>18</v>
      </c>
      <c r="RR11" s="9">
        <v>0</v>
      </c>
      <c r="RS11" s="9" t="s">
        <v>193</v>
      </c>
      <c r="RT11" s="9">
        <v>0</v>
      </c>
      <c r="RU11" s="9" t="s">
        <v>25</v>
      </c>
      <c r="RV11" s="9">
        <v>0</v>
      </c>
      <c r="RW11" s="9" t="s">
        <v>107</v>
      </c>
      <c r="RX11" s="9">
        <v>0</v>
      </c>
      <c r="RY11" s="9" t="s">
        <v>125</v>
      </c>
      <c r="RZ11" s="9">
        <v>289.60000000000002</v>
      </c>
      <c r="SA11" s="9" t="s">
        <v>107</v>
      </c>
      <c r="SB11" s="9">
        <v>0</v>
      </c>
      <c r="SC11" s="9" t="s">
        <v>120</v>
      </c>
      <c r="SD11" s="9">
        <v>0</v>
      </c>
      <c r="SE11" s="9" t="s">
        <v>196</v>
      </c>
      <c r="SF11" s="9">
        <v>0</v>
      </c>
      <c r="SG11" s="9" t="s">
        <v>198</v>
      </c>
      <c r="SH11" s="9">
        <v>0</v>
      </c>
      <c r="SI11" s="9" t="s">
        <v>193</v>
      </c>
      <c r="SJ11" s="9">
        <v>0</v>
      </c>
    </row>
    <row r="12" spans="1:504" x14ac:dyDescent="0.25">
      <c r="A12" s="9" t="e">
        <f ca="1">INDEX(#REF!,RANDBETWEEN(1,176))</f>
        <v>#REF!</v>
      </c>
      <c r="B12" s="9" t="e">
        <f ca="1">VLOOKUP($A12,#REF!,4,0)</f>
        <v>#REF!</v>
      </c>
      <c r="D12" s="14" t="e">
        <f ca="1">$A$12</f>
        <v>#REF!</v>
      </c>
      <c r="E12" s="9" t="e">
        <f ca="1">VLOOKUP($D12,#REF!,4,0)</f>
        <v>#REF!</v>
      </c>
      <c r="G12" s="9" t="s">
        <v>173</v>
      </c>
      <c r="H12" s="9">
        <v>0</v>
      </c>
      <c r="I12" s="9" t="s">
        <v>65</v>
      </c>
      <c r="J12" s="9">
        <v>0</v>
      </c>
      <c r="K12" s="9" t="s">
        <v>26</v>
      </c>
      <c r="L12" s="9">
        <v>382.5</v>
      </c>
      <c r="M12" s="9" t="s">
        <v>195</v>
      </c>
      <c r="N12" s="9">
        <v>0</v>
      </c>
      <c r="O12" s="9" t="s">
        <v>68</v>
      </c>
      <c r="P12" s="9">
        <v>250</v>
      </c>
      <c r="Q12" s="9" t="s">
        <v>161</v>
      </c>
      <c r="R12" s="9">
        <v>0</v>
      </c>
      <c r="S12" s="9" t="s">
        <v>194</v>
      </c>
      <c r="T12" s="9">
        <v>0</v>
      </c>
      <c r="U12" s="9" t="s">
        <v>96</v>
      </c>
      <c r="V12" s="9">
        <v>0</v>
      </c>
      <c r="W12" s="9" t="s">
        <v>195</v>
      </c>
      <c r="X12" s="9">
        <v>0</v>
      </c>
      <c r="Y12" s="9" t="s">
        <v>156</v>
      </c>
      <c r="Z12" s="9">
        <v>829.10021856815433</v>
      </c>
      <c r="AA12" s="9" t="s">
        <v>130</v>
      </c>
      <c r="AB12" s="9">
        <v>0</v>
      </c>
      <c r="AC12" s="9" t="s">
        <v>97</v>
      </c>
      <c r="AD12" s="9">
        <v>0</v>
      </c>
      <c r="AE12" s="9" t="s">
        <v>128</v>
      </c>
      <c r="AF12" s="9">
        <v>322.5</v>
      </c>
      <c r="AG12" s="9" t="s">
        <v>78</v>
      </c>
      <c r="AH12" s="9">
        <v>0</v>
      </c>
      <c r="AI12" s="9" t="s">
        <v>128</v>
      </c>
      <c r="AJ12" s="9">
        <v>322.5</v>
      </c>
      <c r="AK12" s="9" t="s">
        <v>87</v>
      </c>
      <c r="AL12" s="9">
        <v>0</v>
      </c>
      <c r="AM12" s="9" t="s">
        <v>144</v>
      </c>
      <c r="AN12" s="9">
        <v>0</v>
      </c>
      <c r="AO12" s="9" t="s">
        <v>75</v>
      </c>
      <c r="AP12" s="9">
        <v>0</v>
      </c>
      <c r="AQ12" s="9" t="s">
        <v>167</v>
      </c>
      <c r="AR12" s="9">
        <v>0</v>
      </c>
      <c r="AS12" s="9" t="s">
        <v>19</v>
      </c>
      <c r="AT12" s="9">
        <v>608.40000000000009</v>
      </c>
      <c r="AU12" s="9" t="s">
        <v>22</v>
      </c>
      <c r="AV12" s="9">
        <v>0</v>
      </c>
      <c r="AW12" s="9" t="s">
        <v>146</v>
      </c>
      <c r="AX12" s="9">
        <v>0</v>
      </c>
      <c r="AY12" s="9" t="s">
        <v>135</v>
      </c>
      <c r="AZ12" s="9">
        <v>0</v>
      </c>
      <c r="BA12" s="9" t="s">
        <v>191</v>
      </c>
      <c r="BB12" s="9">
        <v>0</v>
      </c>
      <c r="BC12" s="9" t="s">
        <v>69</v>
      </c>
      <c r="BD12" s="9">
        <v>0</v>
      </c>
      <c r="BE12" s="9" t="s">
        <v>42</v>
      </c>
      <c r="BF12" s="9">
        <v>0</v>
      </c>
      <c r="BG12" s="9" t="s">
        <v>91</v>
      </c>
      <c r="BH12" s="9">
        <v>0</v>
      </c>
      <c r="BI12" s="9" t="s">
        <v>149</v>
      </c>
      <c r="BJ12" s="9">
        <v>851.64257005967852</v>
      </c>
      <c r="BK12" s="9" t="s">
        <v>38</v>
      </c>
      <c r="BL12" s="9">
        <v>0</v>
      </c>
      <c r="BM12" s="9" t="s">
        <v>61</v>
      </c>
      <c r="BN12" s="9">
        <v>375.9131934216299</v>
      </c>
      <c r="BO12" s="9" t="s">
        <v>102</v>
      </c>
      <c r="BP12" s="9">
        <v>0</v>
      </c>
      <c r="BQ12" s="9" t="s">
        <v>76</v>
      </c>
      <c r="BR12" s="9">
        <v>0</v>
      </c>
      <c r="BS12" s="9" t="s">
        <v>55</v>
      </c>
      <c r="BT12" s="9">
        <v>0</v>
      </c>
      <c r="BU12" s="9" t="s">
        <v>40</v>
      </c>
      <c r="BV12" s="9">
        <v>0</v>
      </c>
      <c r="BW12" s="9" t="s">
        <v>102</v>
      </c>
      <c r="BX12" s="9">
        <v>0</v>
      </c>
      <c r="BY12" s="9" t="s">
        <v>15</v>
      </c>
      <c r="BZ12" s="9">
        <v>0</v>
      </c>
      <c r="CA12" s="9" t="s">
        <v>52</v>
      </c>
      <c r="CB12" s="9">
        <v>0</v>
      </c>
      <c r="CC12" s="9" t="s">
        <v>180</v>
      </c>
      <c r="CD12" s="9">
        <v>0</v>
      </c>
      <c r="CE12" s="9" t="s">
        <v>105</v>
      </c>
      <c r="CF12" s="9">
        <v>0</v>
      </c>
      <c r="CG12" s="9" t="s">
        <v>59</v>
      </c>
      <c r="CH12" s="9">
        <v>0</v>
      </c>
      <c r="CI12" s="9" t="s">
        <v>23</v>
      </c>
      <c r="CJ12" s="9">
        <v>680.40000000000009</v>
      </c>
      <c r="CK12" s="9" t="s">
        <v>69</v>
      </c>
      <c r="CL12" s="9">
        <v>0</v>
      </c>
      <c r="CM12" s="9" t="s">
        <v>183</v>
      </c>
      <c r="CN12" s="9">
        <v>0</v>
      </c>
      <c r="CO12" s="9" t="s">
        <v>171</v>
      </c>
      <c r="CP12" s="9">
        <v>0</v>
      </c>
      <c r="CQ12" s="9" t="s">
        <v>106</v>
      </c>
      <c r="CR12" s="9">
        <v>0</v>
      </c>
      <c r="CS12" s="9" t="s">
        <v>144</v>
      </c>
      <c r="CT12" s="9">
        <v>0</v>
      </c>
      <c r="CU12" s="9" t="s">
        <v>136</v>
      </c>
      <c r="CV12" s="9">
        <v>413.4</v>
      </c>
      <c r="CW12" s="9" t="s">
        <v>22</v>
      </c>
      <c r="CX12" s="9">
        <v>0</v>
      </c>
      <c r="CY12" s="9" t="s">
        <v>194</v>
      </c>
      <c r="CZ12" s="9">
        <v>0</v>
      </c>
      <c r="DA12" s="9" t="s">
        <v>36</v>
      </c>
      <c r="DB12" s="9">
        <v>0</v>
      </c>
      <c r="DC12" s="9" t="s">
        <v>124</v>
      </c>
      <c r="DD12" s="9">
        <v>0</v>
      </c>
      <c r="DE12" s="9" t="s">
        <v>133</v>
      </c>
      <c r="DF12" s="9">
        <v>0</v>
      </c>
      <c r="DG12" s="9" t="s">
        <v>141</v>
      </c>
      <c r="DH12" s="9">
        <v>0</v>
      </c>
      <c r="DI12" s="9" t="s">
        <v>89</v>
      </c>
      <c r="DJ12" s="9">
        <v>0</v>
      </c>
      <c r="DK12" s="9" t="s">
        <v>65</v>
      </c>
      <c r="DL12" s="9">
        <v>0</v>
      </c>
      <c r="DM12" s="9" t="s">
        <v>165</v>
      </c>
      <c r="DN12" s="9">
        <v>799.06957920465936</v>
      </c>
      <c r="DO12" s="9" t="s">
        <v>143</v>
      </c>
      <c r="DP12" s="9">
        <v>0</v>
      </c>
      <c r="DQ12" s="9" t="s">
        <v>28</v>
      </c>
      <c r="DR12" s="9">
        <v>618.79999999999995</v>
      </c>
      <c r="DS12" s="9" t="s">
        <v>107</v>
      </c>
      <c r="DT12" s="9">
        <v>0</v>
      </c>
      <c r="DU12" s="9" t="s">
        <v>97</v>
      </c>
      <c r="DV12" s="9">
        <v>0</v>
      </c>
      <c r="DW12" s="9" t="s">
        <v>49</v>
      </c>
      <c r="DX12" s="9">
        <v>0</v>
      </c>
      <c r="DY12" s="9" t="s">
        <v>183</v>
      </c>
      <c r="DZ12" s="9">
        <v>0</v>
      </c>
      <c r="EA12" s="9" t="s">
        <v>38</v>
      </c>
      <c r="EB12" s="9">
        <v>0</v>
      </c>
      <c r="EC12" s="9" t="s">
        <v>53</v>
      </c>
      <c r="ED12" s="9">
        <v>0</v>
      </c>
      <c r="EE12" s="9" t="s">
        <v>190</v>
      </c>
      <c r="EF12" s="9">
        <v>0</v>
      </c>
      <c r="EG12" s="9" t="s">
        <v>20</v>
      </c>
      <c r="EH12" s="9">
        <v>0</v>
      </c>
      <c r="EI12" s="9" t="s">
        <v>186</v>
      </c>
      <c r="EJ12" s="9">
        <v>0</v>
      </c>
      <c r="EK12" s="9" t="s">
        <v>190</v>
      </c>
      <c r="EL12" s="9">
        <v>0</v>
      </c>
      <c r="EM12" s="9" t="s">
        <v>43</v>
      </c>
      <c r="EN12" s="9">
        <v>929.06462188328567</v>
      </c>
      <c r="EO12" s="9" t="s">
        <v>55</v>
      </c>
      <c r="EP12" s="9">
        <v>0</v>
      </c>
      <c r="EQ12" s="9" t="s">
        <v>128</v>
      </c>
      <c r="ER12" s="9">
        <v>322.5</v>
      </c>
      <c r="ES12" s="9" t="s">
        <v>65</v>
      </c>
      <c r="ET12" s="9">
        <v>0</v>
      </c>
      <c r="EU12" s="9" t="s">
        <v>187</v>
      </c>
      <c r="EV12" s="9">
        <v>0</v>
      </c>
      <c r="EW12" s="9" t="s">
        <v>48</v>
      </c>
      <c r="EX12" s="9">
        <v>0</v>
      </c>
      <c r="EY12" s="9" t="s">
        <v>197</v>
      </c>
      <c r="EZ12" s="9">
        <v>1000</v>
      </c>
      <c r="FA12" s="9" t="s">
        <v>131</v>
      </c>
      <c r="FB12" s="9">
        <v>0</v>
      </c>
      <c r="FC12" s="9" t="s">
        <v>191</v>
      </c>
      <c r="FD12" s="9">
        <v>0</v>
      </c>
      <c r="FE12" s="9" t="s">
        <v>132</v>
      </c>
      <c r="FF12" s="9">
        <v>0</v>
      </c>
      <c r="FG12" s="9" t="s">
        <v>182</v>
      </c>
      <c r="FH12" s="9">
        <v>0</v>
      </c>
      <c r="FI12" s="9" t="s">
        <v>28</v>
      </c>
      <c r="FJ12" s="9">
        <v>618.79999999999995</v>
      </c>
      <c r="FK12" s="9" t="s">
        <v>85</v>
      </c>
      <c r="FL12" s="9">
        <v>0</v>
      </c>
      <c r="FM12" s="9" t="s">
        <v>197</v>
      </c>
      <c r="FN12" s="9">
        <v>1000</v>
      </c>
      <c r="FO12" s="9" t="s">
        <v>168</v>
      </c>
      <c r="FP12" s="9">
        <v>0</v>
      </c>
      <c r="FQ12" s="9" t="s">
        <v>106</v>
      </c>
      <c r="FR12" s="9">
        <v>0</v>
      </c>
      <c r="FS12" s="9" t="s">
        <v>66</v>
      </c>
      <c r="FT12" s="9">
        <v>0</v>
      </c>
      <c r="FU12" s="9" t="s">
        <v>23</v>
      </c>
      <c r="FV12" s="9">
        <v>680.40000000000009</v>
      </c>
      <c r="FW12" s="9" t="s">
        <v>38</v>
      </c>
      <c r="FX12" s="9">
        <v>0</v>
      </c>
      <c r="FY12" s="9" t="s">
        <v>178</v>
      </c>
      <c r="FZ12" s="9">
        <v>0</v>
      </c>
      <c r="GA12" s="9" t="s">
        <v>34</v>
      </c>
      <c r="GB12" s="9">
        <v>0</v>
      </c>
      <c r="GC12" s="9" t="s">
        <v>106</v>
      </c>
      <c r="GD12" s="9">
        <v>0</v>
      </c>
      <c r="GE12" s="9" t="s">
        <v>19</v>
      </c>
      <c r="GF12" s="9">
        <v>608.40000000000009</v>
      </c>
      <c r="GG12" s="9" t="s">
        <v>135</v>
      </c>
      <c r="GH12" s="9">
        <v>0</v>
      </c>
      <c r="GI12" s="9" t="s">
        <v>107</v>
      </c>
      <c r="GJ12" s="9">
        <v>0</v>
      </c>
      <c r="GK12" s="9" t="s">
        <v>70</v>
      </c>
      <c r="GL12" s="9">
        <v>0</v>
      </c>
      <c r="GM12" s="9" t="s">
        <v>58</v>
      </c>
      <c r="GN12" s="9">
        <v>0</v>
      </c>
      <c r="GO12" s="9" t="s">
        <v>62</v>
      </c>
      <c r="GP12" s="9">
        <v>0</v>
      </c>
      <c r="GQ12" s="9" t="s">
        <v>25</v>
      </c>
      <c r="GR12" s="9">
        <v>0</v>
      </c>
      <c r="GS12" s="9" t="s">
        <v>74</v>
      </c>
      <c r="GT12" s="9">
        <v>0</v>
      </c>
      <c r="GU12" s="9" t="s">
        <v>161</v>
      </c>
      <c r="GV12" s="9">
        <v>0</v>
      </c>
      <c r="GW12" s="9" t="s">
        <v>16</v>
      </c>
      <c r="GX12" s="9">
        <v>400.79999999999995</v>
      </c>
      <c r="GY12" s="9" t="s">
        <v>71</v>
      </c>
      <c r="GZ12" s="9">
        <v>0</v>
      </c>
      <c r="HA12" s="9" t="s">
        <v>29</v>
      </c>
      <c r="HB12" s="9">
        <v>0</v>
      </c>
      <c r="HC12" s="9" t="s">
        <v>109</v>
      </c>
      <c r="HD12" s="9">
        <v>0</v>
      </c>
      <c r="HE12" s="9" t="s">
        <v>16</v>
      </c>
      <c r="HF12" s="9">
        <v>400.79999999999995</v>
      </c>
      <c r="HG12" s="9" t="s">
        <v>138</v>
      </c>
      <c r="HH12" s="9">
        <v>0</v>
      </c>
      <c r="HI12" s="9" t="s">
        <v>165</v>
      </c>
      <c r="HJ12" s="9">
        <v>799.06957920465936</v>
      </c>
      <c r="HK12" s="9" t="s">
        <v>46</v>
      </c>
      <c r="HL12" s="9">
        <v>0</v>
      </c>
      <c r="HM12" s="9" t="s">
        <v>74</v>
      </c>
      <c r="HN12" s="9">
        <v>0</v>
      </c>
      <c r="HO12" s="9" t="s">
        <v>142</v>
      </c>
      <c r="HP12" s="9">
        <v>0</v>
      </c>
      <c r="HQ12" s="9" t="s">
        <v>62</v>
      </c>
      <c r="HR12" s="9">
        <v>0</v>
      </c>
      <c r="HS12" s="9" t="s">
        <v>127</v>
      </c>
      <c r="HT12" s="9">
        <v>0</v>
      </c>
      <c r="HU12" s="9" t="s">
        <v>137</v>
      </c>
      <c r="HV12" s="9">
        <v>0</v>
      </c>
      <c r="HW12" s="9" t="s">
        <v>122</v>
      </c>
      <c r="HX12" s="9">
        <v>0</v>
      </c>
      <c r="HY12" s="9" t="s">
        <v>91</v>
      </c>
      <c r="HZ12" s="9">
        <v>0</v>
      </c>
      <c r="IA12" s="9" t="s">
        <v>78</v>
      </c>
      <c r="IB12" s="9">
        <v>0</v>
      </c>
      <c r="IC12" s="9" t="s">
        <v>80</v>
      </c>
      <c r="ID12" s="9">
        <v>0</v>
      </c>
      <c r="IE12" s="9" t="s">
        <v>89</v>
      </c>
      <c r="IF12" s="9">
        <v>0</v>
      </c>
      <c r="IG12" s="9" t="s">
        <v>39</v>
      </c>
      <c r="IH12" s="9">
        <v>82</v>
      </c>
      <c r="II12" s="9" t="s">
        <v>31</v>
      </c>
      <c r="IJ12" s="9">
        <v>200</v>
      </c>
      <c r="IK12" s="9" t="s">
        <v>149</v>
      </c>
      <c r="IL12" s="9">
        <v>851.64257005967852</v>
      </c>
      <c r="IM12" s="9" t="s">
        <v>25</v>
      </c>
      <c r="IN12" s="9">
        <v>0</v>
      </c>
      <c r="IO12" s="9" t="s">
        <v>49</v>
      </c>
      <c r="IP12" s="9">
        <v>0</v>
      </c>
      <c r="IQ12" s="9" t="s">
        <v>62</v>
      </c>
      <c r="IR12" s="9">
        <v>0</v>
      </c>
      <c r="IS12" s="9" t="s">
        <v>106</v>
      </c>
      <c r="IT12" s="9">
        <v>0</v>
      </c>
      <c r="IU12" s="9" t="s">
        <v>161</v>
      </c>
      <c r="IV12" s="9">
        <v>0</v>
      </c>
      <c r="IW12" s="9" t="s">
        <v>96</v>
      </c>
      <c r="IX12" s="9">
        <v>0</v>
      </c>
      <c r="IY12" s="9" t="s">
        <v>126</v>
      </c>
      <c r="IZ12" s="9">
        <v>512.5</v>
      </c>
      <c r="JA12" s="9" t="s">
        <v>193</v>
      </c>
      <c r="JB12" s="9">
        <v>0</v>
      </c>
      <c r="JC12" s="9" t="s">
        <v>136</v>
      </c>
      <c r="JD12" s="9">
        <v>413.4</v>
      </c>
      <c r="JE12" s="9" t="s">
        <v>65</v>
      </c>
      <c r="JF12" s="9">
        <v>0</v>
      </c>
      <c r="JG12" s="9" t="s">
        <v>91</v>
      </c>
      <c r="JH12" s="9">
        <v>0</v>
      </c>
      <c r="JI12" s="9" t="s">
        <v>22</v>
      </c>
      <c r="JJ12" s="9">
        <v>0</v>
      </c>
      <c r="JK12" s="9" t="s">
        <v>78</v>
      </c>
      <c r="JL12" s="9">
        <v>0</v>
      </c>
      <c r="JM12" s="9" t="s">
        <v>183</v>
      </c>
      <c r="JN12" s="9">
        <v>0</v>
      </c>
      <c r="JO12" s="9" t="s">
        <v>198</v>
      </c>
      <c r="JP12" s="9">
        <v>0</v>
      </c>
      <c r="JQ12" s="9" t="s">
        <v>176</v>
      </c>
      <c r="JR12" s="9">
        <v>0</v>
      </c>
      <c r="JS12" s="9" t="s">
        <v>22</v>
      </c>
      <c r="JT12" s="9">
        <v>0</v>
      </c>
      <c r="JU12" s="9" t="s">
        <v>125</v>
      </c>
      <c r="JV12" s="9">
        <v>289.60000000000002</v>
      </c>
      <c r="JW12" s="9" t="s">
        <v>72</v>
      </c>
      <c r="JX12" s="9">
        <v>0</v>
      </c>
      <c r="JY12" s="9" t="s">
        <v>193</v>
      </c>
      <c r="JZ12" s="9">
        <v>0</v>
      </c>
      <c r="KA12" s="9" t="s">
        <v>101</v>
      </c>
      <c r="KB12" s="9">
        <v>625</v>
      </c>
      <c r="KC12" s="9" t="s">
        <v>45</v>
      </c>
      <c r="KD12" s="9">
        <v>549.59321095902715</v>
      </c>
      <c r="KE12" s="9" t="s">
        <v>138</v>
      </c>
      <c r="KF12" s="9">
        <v>0</v>
      </c>
      <c r="KG12" s="9" t="e">
        <f ca="1">INDEX(#REF!,RANDBETWEEN(1,176))</f>
        <v>#REF!</v>
      </c>
      <c r="KH12" s="9" t="e">
        <f ca="1">VLOOKUP($A12,#REF!,4,0)</f>
        <v>#REF!</v>
      </c>
      <c r="KI12" s="9" t="e">
        <f ca="1">INDEX(#REF!,RANDBETWEEN(1,176))</f>
        <v>#REF!</v>
      </c>
      <c r="KJ12" s="9" t="e">
        <f ca="1">VLOOKUP($A12,#REF!,4,0)</f>
        <v>#REF!</v>
      </c>
      <c r="KK12" s="9" t="e">
        <f ca="1">INDEX(#REF!,RANDBETWEEN(1,176))</f>
        <v>#REF!</v>
      </c>
      <c r="KL12" s="9" t="e">
        <f ca="1">VLOOKUP($A12,#REF!,4,0)</f>
        <v>#REF!</v>
      </c>
      <c r="KM12" s="9" t="e">
        <f ca="1">INDEX(#REF!,RANDBETWEEN(1,176))</f>
        <v>#REF!</v>
      </c>
      <c r="KN12" s="9" t="e">
        <f ca="1">VLOOKUP($A12,#REF!,4,0)</f>
        <v>#REF!</v>
      </c>
      <c r="KO12" s="9" t="e">
        <f ca="1">INDEX(#REF!,RANDBETWEEN(1,176))</f>
        <v>#REF!</v>
      </c>
      <c r="KP12" s="9" t="e">
        <f ca="1">VLOOKUP($A12,#REF!,4,0)</f>
        <v>#REF!</v>
      </c>
      <c r="KQ12" s="9" t="e">
        <f ca="1">INDEX(#REF!,RANDBETWEEN(1,176))</f>
        <v>#REF!</v>
      </c>
      <c r="KR12" s="9" t="e">
        <f ca="1">VLOOKUP($A12,#REF!,4,0)</f>
        <v>#REF!</v>
      </c>
      <c r="KS12" s="9" t="s">
        <v>177</v>
      </c>
      <c r="KT12" s="9">
        <v>0</v>
      </c>
      <c r="KU12" s="9" t="s">
        <v>23</v>
      </c>
      <c r="KV12" s="9">
        <v>680.40000000000009</v>
      </c>
      <c r="KW12" s="9" t="s">
        <v>59</v>
      </c>
      <c r="KX12" s="9">
        <v>0</v>
      </c>
      <c r="KY12" s="9" t="s">
        <v>195</v>
      </c>
      <c r="KZ12" s="9">
        <v>0</v>
      </c>
      <c r="LA12" s="9" t="s">
        <v>169</v>
      </c>
      <c r="LB12" s="9">
        <v>0</v>
      </c>
      <c r="LC12" s="9" t="s">
        <v>120</v>
      </c>
      <c r="LD12" s="9">
        <v>0</v>
      </c>
      <c r="LE12" s="9" t="s">
        <v>177</v>
      </c>
      <c r="LF12" s="9">
        <v>0</v>
      </c>
      <c r="LG12" s="9" t="s">
        <v>144</v>
      </c>
      <c r="LH12" s="9">
        <v>0</v>
      </c>
      <c r="LI12" s="9" t="s">
        <v>147</v>
      </c>
      <c r="LJ12" s="9">
        <v>0</v>
      </c>
      <c r="LK12" s="9" t="s">
        <v>172</v>
      </c>
      <c r="LL12" s="9">
        <v>0</v>
      </c>
      <c r="LM12" s="9" t="s">
        <v>98</v>
      </c>
      <c r="LN12" s="9">
        <v>0</v>
      </c>
      <c r="LO12" s="9" t="s">
        <v>194</v>
      </c>
      <c r="LP12" s="9">
        <v>0</v>
      </c>
      <c r="LQ12" s="9" t="s">
        <v>125</v>
      </c>
      <c r="LR12" s="9">
        <v>289.60000000000002</v>
      </c>
      <c r="LS12" s="9" t="s">
        <v>180</v>
      </c>
      <c r="LT12" s="9">
        <v>0</v>
      </c>
      <c r="LU12" s="9" t="s">
        <v>52</v>
      </c>
      <c r="LV12" s="9">
        <v>0</v>
      </c>
      <c r="LW12" s="9" t="s">
        <v>53</v>
      </c>
      <c r="LX12" s="9">
        <v>0</v>
      </c>
      <c r="LY12" s="9" t="s">
        <v>143</v>
      </c>
      <c r="LZ12" s="9">
        <v>0</v>
      </c>
      <c r="MA12" s="9" t="s">
        <v>15</v>
      </c>
      <c r="MB12" s="9">
        <v>0</v>
      </c>
      <c r="MC12" s="9" t="s">
        <v>29</v>
      </c>
      <c r="MD12" s="9">
        <v>0</v>
      </c>
      <c r="ME12" s="9" t="s">
        <v>174</v>
      </c>
      <c r="MF12" s="9">
        <v>0</v>
      </c>
      <c r="MG12" s="9" t="s">
        <v>200</v>
      </c>
      <c r="MH12" s="9">
        <v>0</v>
      </c>
      <c r="MI12" s="9" t="s">
        <v>176</v>
      </c>
      <c r="MJ12" s="9">
        <v>0</v>
      </c>
      <c r="MK12" s="9" t="s">
        <v>33</v>
      </c>
      <c r="ML12" s="9">
        <v>20.100000000000001</v>
      </c>
      <c r="MM12" s="9" t="s">
        <v>183</v>
      </c>
      <c r="MN12" s="9">
        <v>0</v>
      </c>
      <c r="MO12" s="9" t="s">
        <v>53</v>
      </c>
      <c r="MP12" s="9">
        <v>0</v>
      </c>
      <c r="MQ12" s="9" t="s">
        <v>161</v>
      </c>
      <c r="MR12" s="9">
        <v>0</v>
      </c>
      <c r="MS12" s="9" t="s">
        <v>192</v>
      </c>
      <c r="MT12" s="9">
        <v>0</v>
      </c>
      <c r="MU12" s="9" t="s">
        <v>139</v>
      </c>
      <c r="MV12" s="9">
        <v>0</v>
      </c>
      <c r="MW12" s="9" t="s">
        <v>169</v>
      </c>
      <c r="MX12" s="9">
        <v>0</v>
      </c>
      <c r="MY12" s="9" t="s">
        <v>84</v>
      </c>
      <c r="MZ12" s="9">
        <v>0</v>
      </c>
      <c r="NA12" s="9" t="s">
        <v>152</v>
      </c>
      <c r="NB12" s="9">
        <v>449.4</v>
      </c>
      <c r="NC12" s="9" t="s">
        <v>179</v>
      </c>
      <c r="ND12" s="9">
        <v>0</v>
      </c>
      <c r="NE12" s="9" t="s">
        <v>147</v>
      </c>
      <c r="NF12" s="9">
        <v>0</v>
      </c>
      <c r="NG12" s="9" t="s">
        <v>28</v>
      </c>
      <c r="NH12" s="9">
        <v>618.79999999999995</v>
      </c>
      <c r="NI12" s="9" t="s">
        <v>35</v>
      </c>
      <c r="NJ12" s="9">
        <v>0</v>
      </c>
      <c r="NK12" s="9" t="s">
        <v>25</v>
      </c>
      <c r="NL12" s="9">
        <v>0</v>
      </c>
      <c r="NM12" s="9" t="s">
        <v>75</v>
      </c>
      <c r="NN12" s="9">
        <v>0</v>
      </c>
      <c r="NO12" s="9" t="s">
        <v>127</v>
      </c>
      <c r="NP12" s="9">
        <v>0</v>
      </c>
      <c r="NQ12" s="9" t="s">
        <v>190</v>
      </c>
      <c r="NR12" s="9">
        <v>0</v>
      </c>
      <c r="NS12" s="9" t="s">
        <v>35</v>
      </c>
      <c r="NT12" s="9">
        <v>0</v>
      </c>
      <c r="NU12" s="9" t="s">
        <v>29</v>
      </c>
      <c r="NV12" s="9">
        <v>0</v>
      </c>
      <c r="NW12" s="9" t="s">
        <v>93</v>
      </c>
      <c r="NX12" s="9">
        <v>0</v>
      </c>
      <c r="NY12" s="9" t="s">
        <v>37</v>
      </c>
      <c r="NZ12" s="9">
        <v>31.6</v>
      </c>
      <c r="OA12" s="9" t="s">
        <v>135</v>
      </c>
      <c r="OB12" s="9">
        <v>0</v>
      </c>
      <c r="OC12" s="9" t="s">
        <v>22</v>
      </c>
      <c r="OD12" s="9">
        <v>0</v>
      </c>
      <c r="OE12" s="9" t="s">
        <v>138</v>
      </c>
      <c r="OF12" s="9">
        <v>0</v>
      </c>
      <c r="OG12" s="9" t="s">
        <v>37</v>
      </c>
      <c r="OH12" s="9">
        <v>31.6</v>
      </c>
      <c r="OI12" s="9" t="s">
        <v>48</v>
      </c>
      <c r="OJ12" s="9">
        <v>0</v>
      </c>
      <c r="OK12" s="9" t="s">
        <v>86</v>
      </c>
      <c r="OL12" s="9">
        <v>0</v>
      </c>
      <c r="OM12" s="9" t="s">
        <v>179</v>
      </c>
      <c r="ON12" s="9">
        <v>0</v>
      </c>
      <c r="OO12" s="9" t="s">
        <v>34</v>
      </c>
      <c r="OP12" s="9">
        <v>0</v>
      </c>
      <c r="OQ12" s="9" t="s">
        <v>137</v>
      </c>
      <c r="OR12" s="9">
        <v>0</v>
      </c>
      <c r="OS12" s="9" t="s">
        <v>16</v>
      </c>
      <c r="OT12" s="9">
        <v>400.79999999999995</v>
      </c>
      <c r="OU12" s="9" t="s">
        <v>104</v>
      </c>
      <c r="OV12" s="9">
        <v>0</v>
      </c>
      <c r="OW12" s="9" t="s">
        <v>87</v>
      </c>
      <c r="OX12" s="9">
        <v>0</v>
      </c>
      <c r="OY12" s="9" t="s">
        <v>135</v>
      </c>
      <c r="OZ12" s="9">
        <v>0</v>
      </c>
      <c r="PA12" s="9" t="s">
        <v>63</v>
      </c>
      <c r="PB12" s="9">
        <v>0</v>
      </c>
      <c r="PC12" s="9" t="s">
        <v>35</v>
      </c>
      <c r="PD12" s="9">
        <v>0</v>
      </c>
      <c r="PE12" s="9" t="s">
        <v>130</v>
      </c>
      <c r="PF12" s="9">
        <v>0</v>
      </c>
      <c r="PG12" s="9" t="s">
        <v>156</v>
      </c>
      <c r="PH12" s="9">
        <v>829.10021856815433</v>
      </c>
      <c r="PI12" s="9" t="s">
        <v>122</v>
      </c>
      <c r="PJ12" s="9">
        <v>0</v>
      </c>
      <c r="PK12" s="9" t="s">
        <v>131</v>
      </c>
      <c r="PL12" s="9">
        <v>0</v>
      </c>
      <c r="PM12" s="9" t="s">
        <v>82</v>
      </c>
      <c r="PN12" s="9">
        <v>0</v>
      </c>
      <c r="PO12" s="9" t="s">
        <v>41</v>
      </c>
      <c r="PP12" s="9">
        <v>0</v>
      </c>
      <c r="PQ12" s="9" t="s">
        <v>139</v>
      </c>
      <c r="PR12" s="9">
        <v>0</v>
      </c>
      <c r="PS12" s="9" t="s">
        <v>28</v>
      </c>
      <c r="PT12" s="9">
        <v>618.79999999999995</v>
      </c>
      <c r="PU12" s="9" t="s">
        <v>25</v>
      </c>
      <c r="PV12" s="9">
        <v>0</v>
      </c>
      <c r="PW12" s="9" t="s">
        <v>163</v>
      </c>
      <c r="PX12" s="9">
        <v>0</v>
      </c>
      <c r="PY12" s="9" t="s">
        <v>124</v>
      </c>
      <c r="PZ12" s="9">
        <v>0</v>
      </c>
      <c r="QA12" s="9" t="s">
        <v>47</v>
      </c>
      <c r="QB12" s="9">
        <v>389.96562161946986</v>
      </c>
      <c r="QC12" s="9" t="s">
        <v>137</v>
      </c>
      <c r="QD12" s="9">
        <v>0</v>
      </c>
      <c r="QE12" s="9" t="s">
        <v>198</v>
      </c>
      <c r="QF12" s="9">
        <v>0</v>
      </c>
      <c r="QG12" s="9" t="s">
        <v>129</v>
      </c>
      <c r="QH12" s="9">
        <v>0</v>
      </c>
      <c r="QI12" s="9" t="s">
        <v>166</v>
      </c>
      <c r="QJ12" s="9">
        <v>0</v>
      </c>
      <c r="QK12" s="9" t="s">
        <v>166</v>
      </c>
      <c r="QL12" s="9">
        <v>0</v>
      </c>
      <c r="QM12" s="9" t="s">
        <v>121</v>
      </c>
      <c r="QN12" s="9">
        <v>0</v>
      </c>
      <c r="QO12" s="9" t="s">
        <v>65</v>
      </c>
      <c r="QP12" s="9">
        <v>0</v>
      </c>
      <c r="QQ12" s="9" t="s">
        <v>81</v>
      </c>
      <c r="QR12" s="9">
        <v>0</v>
      </c>
      <c r="QS12" s="9" t="s">
        <v>24</v>
      </c>
      <c r="QT12" s="9">
        <v>0</v>
      </c>
      <c r="QU12" s="9" t="s">
        <v>45</v>
      </c>
      <c r="QV12" s="9">
        <v>549.59321095902715</v>
      </c>
      <c r="QW12" s="9" t="s">
        <v>186</v>
      </c>
      <c r="QX12" s="9">
        <v>0</v>
      </c>
      <c r="QY12" s="9" t="s">
        <v>81</v>
      </c>
      <c r="QZ12" s="9">
        <v>0</v>
      </c>
      <c r="RA12" s="9" t="s">
        <v>98</v>
      </c>
      <c r="RB12" s="9">
        <v>0</v>
      </c>
      <c r="RC12" s="9" t="s">
        <v>148</v>
      </c>
      <c r="RD12" s="9">
        <v>0</v>
      </c>
      <c r="RE12" s="9" t="s">
        <v>60</v>
      </c>
      <c r="RF12" s="9">
        <v>0</v>
      </c>
      <c r="RG12" s="9" t="s">
        <v>53</v>
      </c>
      <c r="RH12" s="9">
        <v>0</v>
      </c>
      <c r="RI12" s="9" t="s">
        <v>96</v>
      </c>
      <c r="RJ12" s="9">
        <v>0</v>
      </c>
      <c r="RK12" s="9" t="s">
        <v>190</v>
      </c>
      <c r="RL12" s="9">
        <v>0</v>
      </c>
      <c r="RM12" s="9" t="s">
        <v>130</v>
      </c>
      <c r="RN12" s="9">
        <v>0</v>
      </c>
      <c r="RO12" s="9" t="s">
        <v>123</v>
      </c>
      <c r="RP12" s="9">
        <v>0</v>
      </c>
      <c r="RQ12" s="9" t="s">
        <v>143</v>
      </c>
      <c r="RR12" s="9">
        <v>0</v>
      </c>
      <c r="RS12" s="9" t="s">
        <v>184</v>
      </c>
      <c r="RT12" s="9">
        <v>0</v>
      </c>
      <c r="RU12" s="9" t="s">
        <v>15</v>
      </c>
      <c r="RV12" s="9">
        <v>0</v>
      </c>
      <c r="RW12" s="9" t="s">
        <v>105</v>
      </c>
      <c r="RX12" s="9">
        <v>0</v>
      </c>
      <c r="RY12" s="9" t="s">
        <v>131</v>
      </c>
      <c r="RZ12" s="9">
        <v>0</v>
      </c>
      <c r="SA12" s="9" t="s">
        <v>157</v>
      </c>
      <c r="SB12" s="9">
        <v>0</v>
      </c>
      <c r="SC12" s="9" t="s">
        <v>85</v>
      </c>
      <c r="SD12" s="9">
        <v>0</v>
      </c>
      <c r="SE12" s="9" t="s">
        <v>133</v>
      </c>
      <c r="SF12" s="9">
        <v>0</v>
      </c>
      <c r="SG12" s="9" t="s">
        <v>29</v>
      </c>
      <c r="SH12" s="9">
        <v>0</v>
      </c>
      <c r="SI12" s="9" t="s">
        <v>80</v>
      </c>
      <c r="SJ12" s="9">
        <v>0</v>
      </c>
    </row>
    <row r="13" spans="1:504" x14ac:dyDescent="0.25">
      <c r="A13" s="9" t="e">
        <f ca="1">INDEX(#REF!,RANDBETWEEN(1,176))</f>
        <v>#REF!</v>
      </c>
      <c r="B13" s="9" t="e">
        <f ca="1">VLOOKUP($A13,#REF!,4,0)</f>
        <v>#REF!</v>
      </c>
      <c r="D13" s="14" t="e">
        <f ca="1">$A$13</f>
        <v>#REF!</v>
      </c>
      <c r="E13" s="9" t="e">
        <f ca="1">VLOOKUP($D13,#REF!,4,0)</f>
        <v>#REF!</v>
      </c>
      <c r="G13" s="9" t="s">
        <v>128</v>
      </c>
      <c r="H13" s="9">
        <v>322.5</v>
      </c>
      <c r="I13" s="9" t="s">
        <v>72</v>
      </c>
      <c r="J13" s="9">
        <v>0</v>
      </c>
      <c r="K13" s="9" t="s">
        <v>56</v>
      </c>
      <c r="L13" s="9">
        <v>0</v>
      </c>
      <c r="M13" s="9" t="s">
        <v>122</v>
      </c>
      <c r="N13" s="9">
        <v>0</v>
      </c>
      <c r="O13" s="9" t="s">
        <v>101</v>
      </c>
      <c r="P13" s="9">
        <v>625</v>
      </c>
      <c r="Q13" s="9" t="s">
        <v>198</v>
      </c>
      <c r="R13" s="9">
        <v>0</v>
      </c>
      <c r="S13" s="9" t="s">
        <v>70</v>
      </c>
      <c r="T13" s="9">
        <v>0</v>
      </c>
      <c r="U13" s="9" t="s">
        <v>39</v>
      </c>
      <c r="V13" s="9">
        <v>82</v>
      </c>
      <c r="W13" s="9" t="s">
        <v>21</v>
      </c>
      <c r="X13" s="9">
        <v>0</v>
      </c>
      <c r="Y13" s="9" t="s">
        <v>92</v>
      </c>
      <c r="Z13" s="9">
        <v>0</v>
      </c>
      <c r="AA13" s="9" t="s">
        <v>189</v>
      </c>
      <c r="AB13" s="9">
        <v>0</v>
      </c>
      <c r="AC13" s="9" t="s">
        <v>158</v>
      </c>
      <c r="AD13" s="9">
        <v>0</v>
      </c>
      <c r="AE13" s="9" t="s">
        <v>133</v>
      </c>
      <c r="AF13" s="9">
        <v>0</v>
      </c>
      <c r="AG13" s="9" t="s">
        <v>187</v>
      </c>
      <c r="AH13" s="9">
        <v>0</v>
      </c>
      <c r="AI13" s="9" t="s">
        <v>26</v>
      </c>
      <c r="AJ13" s="9">
        <v>382.5</v>
      </c>
      <c r="AK13" s="9" t="s">
        <v>72</v>
      </c>
      <c r="AL13" s="9">
        <v>0</v>
      </c>
      <c r="AM13" s="9" t="s">
        <v>139</v>
      </c>
      <c r="AN13" s="9">
        <v>0</v>
      </c>
      <c r="AO13" s="9" t="s">
        <v>30</v>
      </c>
      <c r="AP13" s="9">
        <v>196.8</v>
      </c>
      <c r="AQ13" s="9" t="s">
        <v>126</v>
      </c>
      <c r="AR13" s="9">
        <v>512.5</v>
      </c>
      <c r="AS13" s="9" t="s">
        <v>43</v>
      </c>
      <c r="AT13" s="9">
        <v>929.06462188328567</v>
      </c>
      <c r="AU13" s="9" t="s">
        <v>92</v>
      </c>
      <c r="AV13" s="9">
        <v>0</v>
      </c>
      <c r="AW13" s="9" t="s">
        <v>27</v>
      </c>
      <c r="AX13" s="9">
        <v>22.6</v>
      </c>
      <c r="AY13" s="9" t="s">
        <v>40</v>
      </c>
      <c r="AZ13" s="9">
        <v>0</v>
      </c>
      <c r="BA13" s="9" t="s">
        <v>108</v>
      </c>
      <c r="BB13" s="9">
        <v>0</v>
      </c>
      <c r="BC13" s="9" t="s">
        <v>177</v>
      </c>
      <c r="BD13" s="9">
        <v>0</v>
      </c>
      <c r="BE13" s="9" t="s">
        <v>172</v>
      </c>
      <c r="BF13" s="9">
        <v>0</v>
      </c>
      <c r="BG13" s="9" t="s">
        <v>143</v>
      </c>
      <c r="BH13" s="9">
        <v>0</v>
      </c>
      <c r="BI13" s="9" t="s">
        <v>158</v>
      </c>
      <c r="BJ13" s="9">
        <v>0</v>
      </c>
      <c r="BK13" s="9" t="s">
        <v>165</v>
      </c>
      <c r="BL13" s="9">
        <v>799.06957920465936</v>
      </c>
      <c r="BM13" s="9" t="s">
        <v>66</v>
      </c>
      <c r="BN13" s="9">
        <v>0</v>
      </c>
      <c r="BO13" s="9" t="s">
        <v>156</v>
      </c>
      <c r="BP13" s="9">
        <v>829.10021856815433</v>
      </c>
      <c r="BQ13" s="9" t="s">
        <v>52</v>
      </c>
      <c r="BR13" s="9">
        <v>0</v>
      </c>
      <c r="BS13" s="9" t="s">
        <v>40</v>
      </c>
      <c r="BT13" s="9">
        <v>0</v>
      </c>
      <c r="BU13" s="9" t="s">
        <v>146</v>
      </c>
      <c r="BV13" s="9">
        <v>0</v>
      </c>
      <c r="BW13" s="9" t="s">
        <v>158</v>
      </c>
      <c r="BX13" s="9">
        <v>0</v>
      </c>
      <c r="BY13" s="9" t="s">
        <v>139</v>
      </c>
      <c r="BZ13" s="9">
        <v>0</v>
      </c>
      <c r="CA13" s="9" t="s">
        <v>185</v>
      </c>
      <c r="CB13" s="9">
        <v>0</v>
      </c>
      <c r="CC13" s="9" t="s">
        <v>21</v>
      </c>
      <c r="CD13" s="9">
        <v>0</v>
      </c>
      <c r="CE13" s="9" t="s">
        <v>62</v>
      </c>
      <c r="CF13" s="9">
        <v>0</v>
      </c>
      <c r="CG13" s="9" t="s">
        <v>140</v>
      </c>
      <c r="CH13" s="9">
        <v>0</v>
      </c>
      <c r="CI13" s="9" t="s">
        <v>125</v>
      </c>
      <c r="CJ13" s="9">
        <v>289.60000000000002</v>
      </c>
      <c r="CK13" s="9" t="s">
        <v>146</v>
      </c>
      <c r="CL13" s="9">
        <v>0</v>
      </c>
      <c r="CM13" s="9" t="s">
        <v>192</v>
      </c>
      <c r="CN13" s="9">
        <v>0</v>
      </c>
      <c r="CO13" s="9" t="s">
        <v>96</v>
      </c>
      <c r="CP13" s="9">
        <v>0</v>
      </c>
      <c r="CQ13" s="9" t="s">
        <v>138</v>
      </c>
      <c r="CR13" s="9">
        <v>0</v>
      </c>
      <c r="CS13" s="9" t="s">
        <v>30</v>
      </c>
      <c r="CT13" s="9">
        <v>196.8</v>
      </c>
      <c r="CU13" s="9" t="s">
        <v>93</v>
      </c>
      <c r="CV13" s="9">
        <v>0</v>
      </c>
      <c r="CW13" s="9" t="s">
        <v>50</v>
      </c>
      <c r="CX13" s="9">
        <v>837.38932865935271</v>
      </c>
      <c r="CY13" s="9" t="s">
        <v>183</v>
      </c>
      <c r="CZ13" s="9">
        <v>0</v>
      </c>
      <c r="DA13" s="9" t="s">
        <v>84</v>
      </c>
      <c r="DB13" s="9">
        <v>0</v>
      </c>
      <c r="DC13" s="9" t="s">
        <v>51</v>
      </c>
      <c r="DD13" s="9">
        <v>0</v>
      </c>
      <c r="DE13" s="9" t="s">
        <v>45</v>
      </c>
      <c r="DF13" s="9">
        <v>549.59321095902715</v>
      </c>
      <c r="DG13" s="9" t="s">
        <v>48</v>
      </c>
      <c r="DH13" s="9">
        <v>0</v>
      </c>
      <c r="DI13" s="9" t="s">
        <v>91</v>
      </c>
      <c r="DJ13" s="9">
        <v>0</v>
      </c>
      <c r="DK13" s="9" t="s">
        <v>26</v>
      </c>
      <c r="DL13" s="9">
        <v>382.5</v>
      </c>
      <c r="DM13" s="9" t="s">
        <v>176</v>
      </c>
      <c r="DN13" s="9">
        <v>0</v>
      </c>
      <c r="DO13" s="9" t="s">
        <v>105</v>
      </c>
      <c r="DP13" s="9">
        <v>0</v>
      </c>
      <c r="DQ13" s="9" t="s">
        <v>168</v>
      </c>
      <c r="DR13" s="9">
        <v>0</v>
      </c>
      <c r="DS13" s="9" t="s">
        <v>191</v>
      </c>
      <c r="DT13" s="9">
        <v>0</v>
      </c>
      <c r="DU13" s="9" t="s">
        <v>123</v>
      </c>
      <c r="DV13" s="9">
        <v>0</v>
      </c>
      <c r="DW13" s="9" t="s">
        <v>93</v>
      </c>
      <c r="DX13" s="9">
        <v>0</v>
      </c>
      <c r="DY13" s="9" t="s">
        <v>34</v>
      </c>
      <c r="DZ13" s="9">
        <v>0</v>
      </c>
      <c r="EA13" s="9" t="s">
        <v>81</v>
      </c>
      <c r="EB13" s="9">
        <v>0</v>
      </c>
      <c r="EC13" s="9" t="s">
        <v>156</v>
      </c>
      <c r="ED13" s="9">
        <v>829.10021856815433</v>
      </c>
      <c r="EE13" s="9" t="s">
        <v>136</v>
      </c>
      <c r="EF13" s="9">
        <v>413.4</v>
      </c>
      <c r="EG13" s="9" t="s">
        <v>90</v>
      </c>
      <c r="EH13" s="9">
        <v>0</v>
      </c>
      <c r="EI13" s="9" t="s">
        <v>16</v>
      </c>
      <c r="EJ13" s="9">
        <v>400.79999999999995</v>
      </c>
      <c r="EK13" s="9" t="s">
        <v>25</v>
      </c>
      <c r="EL13" s="9">
        <v>0</v>
      </c>
      <c r="EM13" s="9" t="s">
        <v>190</v>
      </c>
      <c r="EN13" s="9">
        <v>0</v>
      </c>
      <c r="EO13" s="9" t="s">
        <v>128</v>
      </c>
      <c r="EP13" s="9">
        <v>322.5</v>
      </c>
      <c r="EQ13" s="9" t="s">
        <v>66</v>
      </c>
      <c r="ER13" s="9">
        <v>0</v>
      </c>
      <c r="ES13" s="9" t="s">
        <v>104</v>
      </c>
      <c r="ET13" s="9">
        <v>0</v>
      </c>
      <c r="EU13" s="9" t="s">
        <v>62</v>
      </c>
      <c r="EV13" s="9">
        <v>0</v>
      </c>
      <c r="EW13" s="9" t="s">
        <v>161</v>
      </c>
      <c r="EX13" s="9">
        <v>0</v>
      </c>
      <c r="EY13" s="9" t="s">
        <v>179</v>
      </c>
      <c r="EZ13" s="9">
        <v>0</v>
      </c>
      <c r="FA13" s="9" t="s">
        <v>144</v>
      </c>
      <c r="FB13" s="9">
        <v>0</v>
      </c>
      <c r="FC13" s="9" t="s">
        <v>169</v>
      </c>
      <c r="FD13" s="9">
        <v>0</v>
      </c>
      <c r="FE13" s="9" t="s">
        <v>191</v>
      </c>
      <c r="FF13" s="9">
        <v>0</v>
      </c>
      <c r="FG13" s="9" t="s">
        <v>75</v>
      </c>
      <c r="FH13" s="9">
        <v>0</v>
      </c>
      <c r="FI13" s="9" t="s">
        <v>42</v>
      </c>
      <c r="FJ13" s="9">
        <v>0</v>
      </c>
      <c r="FK13" s="9" t="s">
        <v>53</v>
      </c>
      <c r="FL13" s="9">
        <v>0</v>
      </c>
      <c r="FM13" s="9" t="s">
        <v>110</v>
      </c>
      <c r="FN13" s="9">
        <v>0</v>
      </c>
      <c r="FO13" s="9" t="s">
        <v>119</v>
      </c>
      <c r="FP13" s="9">
        <v>547.79999999999995</v>
      </c>
      <c r="FQ13" s="9" t="s">
        <v>50</v>
      </c>
      <c r="FR13" s="9">
        <v>837.38932865935271</v>
      </c>
      <c r="FS13" s="9" t="s">
        <v>16</v>
      </c>
      <c r="FT13" s="9">
        <v>400.79999999999995</v>
      </c>
      <c r="FU13" s="9" t="s">
        <v>59</v>
      </c>
      <c r="FV13" s="9">
        <v>0</v>
      </c>
      <c r="FW13" s="9" t="s">
        <v>100</v>
      </c>
      <c r="FX13" s="9">
        <v>0</v>
      </c>
      <c r="FY13" s="9" t="s">
        <v>16</v>
      </c>
      <c r="FZ13" s="9">
        <v>400.79999999999995</v>
      </c>
      <c r="GA13" s="9" t="s">
        <v>80</v>
      </c>
      <c r="GB13" s="9">
        <v>0</v>
      </c>
      <c r="GC13" s="9" t="s">
        <v>54</v>
      </c>
      <c r="GD13" s="9">
        <v>27.2</v>
      </c>
      <c r="GE13" s="9" t="s">
        <v>96</v>
      </c>
      <c r="GF13" s="9">
        <v>0</v>
      </c>
      <c r="GG13" s="9" t="s">
        <v>75</v>
      </c>
      <c r="GH13" s="9">
        <v>0</v>
      </c>
      <c r="GI13" s="9" t="s">
        <v>169</v>
      </c>
      <c r="GJ13" s="9">
        <v>0</v>
      </c>
      <c r="GK13" s="9" t="s">
        <v>97</v>
      </c>
      <c r="GL13" s="9">
        <v>0</v>
      </c>
      <c r="GM13" s="9" t="s">
        <v>92</v>
      </c>
      <c r="GN13" s="9">
        <v>0</v>
      </c>
      <c r="GO13" s="9" t="s">
        <v>83</v>
      </c>
      <c r="GP13" s="9">
        <v>0</v>
      </c>
      <c r="GQ13" s="9" t="s">
        <v>73</v>
      </c>
      <c r="GR13" s="9">
        <v>0</v>
      </c>
      <c r="GS13" s="9" t="s">
        <v>66</v>
      </c>
      <c r="GT13" s="9">
        <v>0</v>
      </c>
      <c r="GU13" s="9" t="s">
        <v>94</v>
      </c>
      <c r="GV13" s="9">
        <v>232.26615547082142</v>
      </c>
      <c r="GW13" s="9" t="s">
        <v>109</v>
      </c>
      <c r="GX13" s="9">
        <v>0</v>
      </c>
      <c r="GY13" s="9" t="s">
        <v>39</v>
      </c>
      <c r="GZ13" s="9">
        <v>82</v>
      </c>
      <c r="HA13" s="9" t="s">
        <v>144</v>
      </c>
      <c r="HB13" s="9">
        <v>0</v>
      </c>
      <c r="HC13" s="9" t="s">
        <v>121</v>
      </c>
      <c r="HD13" s="9">
        <v>0</v>
      </c>
      <c r="HE13" s="9" t="s">
        <v>191</v>
      </c>
      <c r="HF13" s="9">
        <v>0</v>
      </c>
      <c r="HG13" s="9" t="s">
        <v>38</v>
      </c>
      <c r="HH13" s="9">
        <v>0</v>
      </c>
      <c r="HI13" s="9" t="s">
        <v>127</v>
      </c>
      <c r="HJ13" s="9">
        <v>0</v>
      </c>
      <c r="HK13" s="9" t="s">
        <v>33</v>
      </c>
      <c r="HL13" s="9">
        <v>20.100000000000001</v>
      </c>
      <c r="HM13" s="9" t="s">
        <v>37</v>
      </c>
      <c r="HN13" s="9">
        <v>31.6</v>
      </c>
      <c r="HO13" s="9" t="s">
        <v>49</v>
      </c>
      <c r="HP13" s="9">
        <v>0</v>
      </c>
      <c r="HQ13" s="9" t="s">
        <v>47</v>
      </c>
      <c r="HR13" s="9">
        <v>389.96562161946986</v>
      </c>
      <c r="HS13" s="9" t="s">
        <v>37</v>
      </c>
      <c r="HT13" s="9">
        <v>31.6</v>
      </c>
      <c r="HU13" s="9" t="s">
        <v>181</v>
      </c>
      <c r="HV13" s="9">
        <v>0</v>
      </c>
      <c r="HW13" s="9" t="s">
        <v>23</v>
      </c>
      <c r="HX13" s="9">
        <v>680.40000000000009</v>
      </c>
      <c r="HY13" s="9" t="s">
        <v>34</v>
      </c>
      <c r="HZ13" s="9">
        <v>0</v>
      </c>
      <c r="IA13" s="9" t="s">
        <v>60</v>
      </c>
      <c r="IB13" s="9">
        <v>0</v>
      </c>
      <c r="IC13" s="9" t="s">
        <v>140</v>
      </c>
      <c r="ID13" s="9">
        <v>0</v>
      </c>
      <c r="IE13" s="9" t="s">
        <v>151</v>
      </c>
      <c r="IF13" s="9">
        <v>232.26615547082142</v>
      </c>
      <c r="IG13" s="9" t="s">
        <v>16</v>
      </c>
      <c r="IH13" s="9">
        <v>400.79999999999995</v>
      </c>
      <c r="II13" s="9" t="s">
        <v>19</v>
      </c>
      <c r="IJ13" s="9">
        <v>608.40000000000009</v>
      </c>
      <c r="IK13" s="9" t="s">
        <v>85</v>
      </c>
      <c r="IL13" s="9">
        <v>0</v>
      </c>
      <c r="IM13" s="9" t="s">
        <v>35</v>
      </c>
      <c r="IN13" s="9">
        <v>0</v>
      </c>
      <c r="IO13" s="9" t="s">
        <v>196</v>
      </c>
      <c r="IP13" s="9">
        <v>0</v>
      </c>
      <c r="IQ13" s="9" t="s">
        <v>75</v>
      </c>
      <c r="IR13" s="9">
        <v>0</v>
      </c>
      <c r="IS13" s="9" t="s">
        <v>37</v>
      </c>
      <c r="IT13" s="9">
        <v>31.6</v>
      </c>
      <c r="IU13" s="9" t="s">
        <v>81</v>
      </c>
      <c r="IV13" s="9">
        <v>0</v>
      </c>
      <c r="IW13" s="9" t="s">
        <v>137</v>
      </c>
      <c r="IX13" s="9">
        <v>0</v>
      </c>
      <c r="IY13" s="9" t="s">
        <v>106</v>
      </c>
      <c r="IZ13" s="9">
        <v>0</v>
      </c>
      <c r="JA13" s="9" t="s">
        <v>72</v>
      </c>
      <c r="JB13" s="9">
        <v>0</v>
      </c>
      <c r="JC13" s="9" t="s">
        <v>39</v>
      </c>
      <c r="JD13" s="9">
        <v>82</v>
      </c>
      <c r="JE13" s="9" t="s">
        <v>144</v>
      </c>
      <c r="JF13" s="9">
        <v>0</v>
      </c>
      <c r="JG13" s="9" t="s">
        <v>151</v>
      </c>
      <c r="JH13" s="9">
        <v>232.26615547082142</v>
      </c>
      <c r="JI13" s="9" t="s">
        <v>110</v>
      </c>
      <c r="JJ13" s="9">
        <v>0</v>
      </c>
      <c r="JK13" s="9" t="s">
        <v>48</v>
      </c>
      <c r="JL13" s="9">
        <v>0</v>
      </c>
      <c r="JM13" s="9" t="s">
        <v>44</v>
      </c>
      <c r="JN13" s="9">
        <v>0</v>
      </c>
      <c r="JO13" s="9" t="s">
        <v>119</v>
      </c>
      <c r="JP13" s="9">
        <v>547.79999999999995</v>
      </c>
      <c r="JQ13" s="9" t="s">
        <v>22</v>
      </c>
      <c r="JR13" s="9">
        <v>0</v>
      </c>
      <c r="JS13" s="9" t="s">
        <v>128</v>
      </c>
      <c r="JT13" s="9">
        <v>322.5</v>
      </c>
      <c r="JU13" s="9" t="s">
        <v>129</v>
      </c>
      <c r="JV13" s="9">
        <v>0</v>
      </c>
      <c r="JW13" s="9" t="s">
        <v>181</v>
      </c>
      <c r="JX13" s="9">
        <v>0</v>
      </c>
      <c r="JY13" s="9" t="s">
        <v>22</v>
      </c>
      <c r="JZ13" s="9">
        <v>0</v>
      </c>
      <c r="KA13" s="9" t="s">
        <v>187</v>
      </c>
      <c r="KB13" s="9">
        <v>0</v>
      </c>
      <c r="KC13" s="9" t="s">
        <v>64</v>
      </c>
      <c r="KD13" s="9">
        <v>0</v>
      </c>
      <c r="KE13" s="9" t="s">
        <v>104</v>
      </c>
      <c r="KF13" s="9">
        <v>0</v>
      </c>
      <c r="KG13" s="9" t="e">
        <f ca="1">INDEX(#REF!,RANDBETWEEN(1,176))</f>
        <v>#REF!</v>
      </c>
      <c r="KH13" s="9" t="e">
        <f ca="1">VLOOKUP($A13,#REF!,4,0)</f>
        <v>#REF!</v>
      </c>
      <c r="KI13" s="9" t="e">
        <f ca="1">INDEX(#REF!,RANDBETWEEN(1,176))</f>
        <v>#REF!</v>
      </c>
      <c r="KJ13" s="9" t="e">
        <f ca="1">VLOOKUP($A13,#REF!,4,0)</f>
        <v>#REF!</v>
      </c>
      <c r="KK13" s="9" t="e">
        <f ca="1">INDEX(#REF!,RANDBETWEEN(1,176))</f>
        <v>#REF!</v>
      </c>
      <c r="KL13" s="9" t="e">
        <f ca="1">VLOOKUP($A13,#REF!,4,0)</f>
        <v>#REF!</v>
      </c>
      <c r="KM13" s="9" t="e">
        <f ca="1">INDEX(#REF!,RANDBETWEEN(1,176))</f>
        <v>#REF!</v>
      </c>
      <c r="KN13" s="9" t="e">
        <f ca="1">VLOOKUP($A13,#REF!,4,0)</f>
        <v>#REF!</v>
      </c>
      <c r="KO13" s="9" t="e">
        <f ca="1">INDEX(#REF!,RANDBETWEEN(1,176))</f>
        <v>#REF!</v>
      </c>
      <c r="KP13" s="9" t="e">
        <f ca="1">VLOOKUP($A13,#REF!,4,0)</f>
        <v>#REF!</v>
      </c>
      <c r="KQ13" s="9" t="e">
        <f ca="1">INDEX(#REF!,RANDBETWEEN(1,176))</f>
        <v>#REF!</v>
      </c>
      <c r="KR13" s="9" t="e">
        <f ca="1">VLOOKUP($A13,#REF!,4,0)</f>
        <v>#REF!</v>
      </c>
      <c r="KS13" s="9" t="s">
        <v>58</v>
      </c>
      <c r="KT13" s="9">
        <v>0</v>
      </c>
      <c r="KU13" s="9" t="s">
        <v>195</v>
      </c>
      <c r="KV13" s="9">
        <v>0</v>
      </c>
      <c r="KW13" s="9" t="s">
        <v>88</v>
      </c>
      <c r="KX13" s="9">
        <v>0</v>
      </c>
      <c r="KY13" s="9" t="s">
        <v>21</v>
      </c>
      <c r="KZ13" s="9">
        <v>0</v>
      </c>
      <c r="LA13" s="9" t="s">
        <v>137</v>
      </c>
      <c r="LB13" s="9">
        <v>0</v>
      </c>
      <c r="LC13" s="9" t="s">
        <v>163</v>
      </c>
      <c r="LD13" s="9">
        <v>0</v>
      </c>
      <c r="LE13" s="9" t="s">
        <v>170</v>
      </c>
      <c r="LF13" s="9">
        <v>0</v>
      </c>
      <c r="LG13" s="9" t="s">
        <v>156</v>
      </c>
      <c r="LH13" s="9">
        <v>829.10021856815433</v>
      </c>
      <c r="LI13" s="9" t="s">
        <v>39</v>
      </c>
      <c r="LJ13" s="9">
        <v>82</v>
      </c>
      <c r="LK13" s="9" t="s">
        <v>27</v>
      </c>
      <c r="LL13" s="9">
        <v>22.6</v>
      </c>
      <c r="LM13" s="9" t="s">
        <v>18</v>
      </c>
      <c r="LN13" s="9">
        <v>0</v>
      </c>
      <c r="LO13" s="9" t="s">
        <v>130</v>
      </c>
      <c r="LP13" s="9">
        <v>0</v>
      </c>
      <c r="LQ13" s="9" t="s">
        <v>42</v>
      </c>
      <c r="LR13" s="9">
        <v>0</v>
      </c>
      <c r="LS13" s="9" t="s">
        <v>23</v>
      </c>
      <c r="LT13" s="9">
        <v>680.40000000000009</v>
      </c>
      <c r="LU13" s="9" t="s">
        <v>149</v>
      </c>
      <c r="LV13" s="9">
        <v>851.64257005967852</v>
      </c>
      <c r="LW13" s="9" t="s">
        <v>145</v>
      </c>
      <c r="LX13" s="9">
        <v>509.05014022132127</v>
      </c>
      <c r="LY13" s="9" t="s">
        <v>133</v>
      </c>
      <c r="LZ13" s="9">
        <v>0</v>
      </c>
      <c r="MA13" s="9" t="s">
        <v>66</v>
      </c>
      <c r="MB13" s="9">
        <v>0</v>
      </c>
      <c r="MC13" s="9" t="s">
        <v>146</v>
      </c>
      <c r="MD13" s="9">
        <v>0</v>
      </c>
      <c r="ME13" s="9" t="s">
        <v>167</v>
      </c>
      <c r="MF13" s="9">
        <v>0</v>
      </c>
      <c r="MG13" s="9" t="s">
        <v>184</v>
      </c>
      <c r="MH13" s="9">
        <v>0</v>
      </c>
      <c r="MI13" s="9" t="s">
        <v>47</v>
      </c>
      <c r="MJ13" s="9">
        <v>389.96562161946986</v>
      </c>
      <c r="MK13" s="9" t="s">
        <v>132</v>
      </c>
      <c r="ML13" s="9">
        <v>0</v>
      </c>
      <c r="MM13" s="9" t="s">
        <v>67</v>
      </c>
      <c r="MN13" s="9">
        <v>0</v>
      </c>
      <c r="MO13" s="9" t="s">
        <v>62</v>
      </c>
      <c r="MP13" s="9">
        <v>0</v>
      </c>
      <c r="MQ13" s="9" t="s">
        <v>44</v>
      </c>
      <c r="MR13" s="9">
        <v>0</v>
      </c>
      <c r="MS13" s="9" t="s">
        <v>20</v>
      </c>
      <c r="MT13" s="9">
        <v>0</v>
      </c>
      <c r="MU13" s="9" t="s">
        <v>45</v>
      </c>
      <c r="MV13" s="9">
        <v>549.59321095902715</v>
      </c>
      <c r="MW13" s="9" t="s">
        <v>85</v>
      </c>
      <c r="MX13" s="9">
        <v>0</v>
      </c>
      <c r="MY13" s="9" t="s">
        <v>139</v>
      </c>
      <c r="MZ13" s="9">
        <v>0</v>
      </c>
      <c r="NA13" s="9" t="s">
        <v>162</v>
      </c>
      <c r="NB13" s="9">
        <v>0</v>
      </c>
      <c r="NC13" s="9" t="s">
        <v>20</v>
      </c>
      <c r="ND13" s="9">
        <v>0</v>
      </c>
      <c r="NE13" s="9" t="s">
        <v>40</v>
      </c>
      <c r="NF13" s="9">
        <v>0</v>
      </c>
      <c r="NG13" s="9" t="s">
        <v>57</v>
      </c>
      <c r="NH13" s="9">
        <v>0</v>
      </c>
      <c r="NI13" s="9" t="s">
        <v>120</v>
      </c>
      <c r="NJ13" s="9">
        <v>0</v>
      </c>
      <c r="NK13" s="9" t="s">
        <v>182</v>
      </c>
      <c r="NL13" s="9">
        <v>0</v>
      </c>
      <c r="NM13" s="9" t="s">
        <v>97</v>
      </c>
      <c r="NN13" s="9">
        <v>0</v>
      </c>
      <c r="NO13" s="9" t="s">
        <v>196</v>
      </c>
      <c r="NP13" s="9">
        <v>0</v>
      </c>
      <c r="NQ13" s="9" t="s">
        <v>178</v>
      </c>
      <c r="NR13" s="9">
        <v>0</v>
      </c>
      <c r="NS13" s="9" t="s">
        <v>64</v>
      </c>
      <c r="NT13" s="9">
        <v>0</v>
      </c>
      <c r="NU13" s="9" t="s">
        <v>90</v>
      </c>
      <c r="NV13" s="9">
        <v>0</v>
      </c>
      <c r="NW13" s="9" t="s">
        <v>63</v>
      </c>
      <c r="NX13" s="9">
        <v>0</v>
      </c>
      <c r="NY13" s="9" t="s">
        <v>135</v>
      </c>
      <c r="NZ13" s="9">
        <v>0</v>
      </c>
      <c r="OA13" s="9" t="s">
        <v>20</v>
      </c>
      <c r="OB13" s="9">
        <v>0</v>
      </c>
      <c r="OC13" s="9" t="s">
        <v>18</v>
      </c>
      <c r="OD13" s="9">
        <v>0</v>
      </c>
      <c r="OE13" s="9" t="s">
        <v>66</v>
      </c>
      <c r="OF13" s="9">
        <v>0</v>
      </c>
      <c r="OG13" s="9" t="s">
        <v>46</v>
      </c>
      <c r="OH13" s="9">
        <v>0</v>
      </c>
      <c r="OI13" s="9" t="s">
        <v>80</v>
      </c>
      <c r="OJ13" s="9">
        <v>0</v>
      </c>
      <c r="OK13" s="9" t="s">
        <v>172</v>
      </c>
      <c r="OL13" s="9">
        <v>0</v>
      </c>
      <c r="OM13" s="9" t="s">
        <v>55</v>
      </c>
      <c r="ON13" s="9">
        <v>0</v>
      </c>
      <c r="OO13" s="9" t="s">
        <v>90</v>
      </c>
      <c r="OP13" s="9">
        <v>0</v>
      </c>
      <c r="OQ13" s="9" t="s">
        <v>171</v>
      </c>
      <c r="OR13" s="9">
        <v>0</v>
      </c>
      <c r="OS13" s="9" t="s">
        <v>35</v>
      </c>
      <c r="OT13" s="9">
        <v>0</v>
      </c>
      <c r="OU13" s="9" t="s">
        <v>65</v>
      </c>
      <c r="OV13" s="9">
        <v>0</v>
      </c>
      <c r="OW13" s="9" t="s">
        <v>40</v>
      </c>
      <c r="OX13" s="9">
        <v>0</v>
      </c>
      <c r="OY13" s="9" t="s">
        <v>98</v>
      </c>
      <c r="OZ13" s="9">
        <v>0</v>
      </c>
      <c r="PA13" s="9" t="s">
        <v>195</v>
      </c>
      <c r="PB13" s="9">
        <v>0</v>
      </c>
      <c r="PC13" s="9" t="s">
        <v>30</v>
      </c>
      <c r="PD13" s="9">
        <v>196.8</v>
      </c>
      <c r="PE13" s="9" t="s">
        <v>61</v>
      </c>
      <c r="PF13" s="9">
        <v>375.9131934216299</v>
      </c>
      <c r="PG13" s="9" t="s">
        <v>58</v>
      </c>
      <c r="PH13" s="9">
        <v>0</v>
      </c>
      <c r="PI13" s="9" t="s">
        <v>48</v>
      </c>
      <c r="PJ13" s="9">
        <v>0</v>
      </c>
      <c r="PK13" s="9" t="s">
        <v>177</v>
      </c>
      <c r="PL13" s="9">
        <v>0</v>
      </c>
      <c r="PM13" s="9" t="s">
        <v>188</v>
      </c>
      <c r="PN13" s="9">
        <v>1751.0631565987637</v>
      </c>
      <c r="PO13" s="9" t="s">
        <v>180</v>
      </c>
      <c r="PP13" s="9">
        <v>0</v>
      </c>
      <c r="PQ13" s="9" t="s">
        <v>181</v>
      </c>
      <c r="PR13" s="9">
        <v>0</v>
      </c>
      <c r="PS13" s="9" t="s">
        <v>145</v>
      </c>
      <c r="PT13" s="9">
        <v>509.05014022132127</v>
      </c>
      <c r="PU13" s="9" t="s">
        <v>119</v>
      </c>
      <c r="PV13" s="9">
        <v>547.79999999999995</v>
      </c>
      <c r="PW13" s="9" t="s">
        <v>57</v>
      </c>
      <c r="PX13" s="9">
        <v>0</v>
      </c>
      <c r="PY13" s="9" t="s">
        <v>131</v>
      </c>
      <c r="PZ13" s="9">
        <v>0</v>
      </c>
      <c r="QA13" s="9" t="s">
        <v>59</v>
      </c>
      <c r="QB13" s="9">
        <v>0</v>
      </c>
      <c r="QC13" s="9" t="s">
        <v>133</v>
      </c>
      <c r="QD13" s="9">
        <v>0</v>
      </c>
      <c r="QE13" s="9" t="s">
        <v>65</v>
      </c>
      <c r="QF13" s="9">
        <v>0</v>
      </c>
      <c r="QG13" s="9" t="s">
        <v>15</v>
      </c>
      <c r="QH13" s="9">
        <v>0</v>
      </c>
      <c r="QI13" s="9" t="s">
        <v>38</v>
      </c>
      <c r="QJ13" s="9">
        <v>0</v>
      </c>
      <c r="QK13" s="9" t="s">
        <v>187</v>
      </c>
      <c r="QL13" s="9">
        <v>0</v>
      </c>
      <c r="QM13" s="9" t="s">
        <v>133</v>
      </c>
      <c r="QN13" s="9">
        <v>0</v>
      </c>
      <c r="QO13" s="9" t="s">
        <v>81</v>
      </c>
      <c r="QP13" s="9">
        <v>0</v>
      </c>
      <c r="QQ13" s="9" t="s">
        <v>180</v>
      </c>
      <c r="QR13" s="9">
        <v>0</v>
      </c>
      <c r="QS13" s="9" t="s">
        <v>89</v>
      </c>
      <c r="QT13" s="9">
        <v>0</v>
      </c>
      <c r="QU13" s="9" t="s">
        <v>68</v>
      </c>
      <c r="QV13" s="9">
        <v>250</v>
      </c>
      <c r="QW13" s="9" t="s">
        <v>182</v>
      </c>
      <c r="QX13" s="9">
        <v>0</v>
      </c>
      <c r="QY13" s="9" t="s">
        <v>145</v>
      </c>
      <c r="QZ13" s="9">
        <v>509.05014022132127</v>
      </c>
      <c r="RA13" s="9" t="s">
        <v>57</v>
      </c>
      <c r="RB13" s="9">
        <v>0</v>
      </c>
      <c r="RC13" s="9" t="s">
        <v>95</v>
      </c>
      <c r="RD13" s="9">
        <v>0</v>
      </c>
      <c r="RE13" s="9" t="s">
        <v>132</v>
      </c>
      <c r="RF13" s="9">
        <v>0</v>
      </c>
      <c r="RG13" s="9" t="s">
        <v>190</v>
      </c>
      <c r="RH13" s="9">
        <v>0</v>
      </c>
      <c r="RI13" s="9" t="s">
        <v>171</v>
      </c>
      <c r="RJ13" s="9">
        <v>0</v>
      </c>
      <c r="RK13" s="9" t="s">
        <v>183</v>
      </c>
      <c r="RL13" s="9">
        <v>0</v>
      </c>
      <c r="RM13" s="9" t="s">
        <v>29</v>
      </c>
      <c r="RN13" s="9">
        <v>0</v>
      </c>
      <c r="RO13" s="9" t="s">
        <v>134</v>
      </c>
      <c r="RP13" s="9">
        <v>1635.2921194660546</v>
      </c>
      <c r="RQ13" s="9" t="s">
        <v>53</v>
      </c>
      <c r="RR13" s="9">
        <v>0</v>
      </c>
      <c r="RS13" s="9" t="s">
        <v>177</v>
      </c>
      <c r="RT13" s="9">
        <v>0</v>
      </c>
      <c r="RU13" s="9" t="s">
        <v>69</v>
      </c>
      <c r="RV13" s="9">
        <v>0</v>
      </c>
      <c r="RW13" s="9" t="s">
        <v>100</v>
      </c>
      <c r="RX13" s="9">
        <v>0</v>
      </c>
      <c r="RY13" s="9" t="s">
        <v>190</v>
      </c>
      <c r="RZ13" s="9">
        <v>0</v>
      </c>
      <c r="SA13" s="9" t="s">
        <v>141</v>
      </c>
      <c r="SB13" s="9">
        <v>0</v>
      </c>
      <c r="SC13" s="9" t="s">
        <v>81</v>
      </c>
      <c r="SD13" s="9">
        <v>0</v>
      </c>
      <c r="SE13" s="9" t="s">
        <v>167</v>
      </c>
      <c r="SF13" s="9">
        <v>0</v>
      </c>
      <c r="SG13" s="9" t="s">
        <v>149</v>
      </c>
      <c r="SH13" s="9">
        <v>851.64257005967852</v>
      </c>
      <c r="SI13" s="9" t="s">
        <v>158</v>
      </c>
      <c r="SJ13" s="9">
        <v>0</v>
      </c>
    </row>
    <row r="14" spans="1:504" x14ac:dyDescent="0.25">
      <c r="D14" s="15"/>
    </row>
    <row r="15" spans="1:504" x14ac:dyDescent="0.25">
      <c r="A15" s="11" t="s">
        <v>10</v>
      </c>
      <c r="B15" s="9" t="e">
        <f ca="1">SUM(B4:B13)</f>
        <v>#REF!</v>
      </c>
      <c r="D15" s="15" t="s">
        <v>10</v>
      </c>
      <c r="F15" s="11" t="e">
        <f ca="1">SUM(E4:E13)</f>
        <v>#REF!</v>
      </c>
      <c r="G15" s="9" t="s">
        <v>10</v>
      </c>
      <c r="H15" s="9">
        <v>322.5</v>
      </c>
      <c r="I15" s="9" t="s">
        <v>10</v>
      </c>
      <c r="J15" s="9">
        <v>829.10021856815433</v>
      </c>
      <c r="K15" s="9" t="s">
        <v>10</v>
      </c>
      <c r="L15" s="9">
        <v>1211.6002185681543</v>
      </c>
      <c r="M15" s="9" t="s">
        <v>10</v>
      </c>
      <c r="N15" s="9">
        <v>0</v>
      </c>
      <c r="O15" s="9" t="s">
        <v>10</v>
      </c>
      <c r="P15" s="9">
        <v>1497.2317770902914</v>
      </c>
      <c r="Q15" s="9" t="s">
        <v>10</v>
      </c>
      <c r="R15" s="9">
        <v>0</v>
      </c>
      <c r="S15" s="9" t="s">
        <v>10</v>
      </c>
      <c r="T15" s="9">
        <v>1615.6661554708216</v>
      </c>
      <c r="U15" s="9" t="s">
        <v>10</v>
      </c>
      <c r="V15" s="9">
        <v>2033.0631565987637</v>
      </c>
      <c r="W15" s="9" t="s">
        <v>10</v>
      </c>
      <c r="X15" s="9">
        <v>403.11319342162989</v>
      </c>
      <c r="Y15" s="9" t="s">
        <v>10</v>
      </c>
      <c r="Z15" s="9">
        <v>1885.9503587894756</v>
      </c>
      <c r="AA15" s="9" t="s">
        <v>10</v>
      </c>
      <c r="AB15" s="9">
        <v>0</v>
      </c>
      <c r="AC15" s="9" t="s">
        <v>10</v>
      </c>
      <c r="AD15" s="9">
        <v>829.10021856815433</v>
      </c>
      <c r="AE15" s="9" t="s">
        <v>10</v>
      </c>
      <c r="AF15" s="9">
        <v>322.5</v>
      </c>
      <c r="AG15" s="9" t="s">
        <v>10</v>
      </c>
      <c r="AH15" s="9">
        <v>228.4</v>
      </c>
      <c r="AI15" s="9" t="s">
        <v>10</v>
      </c>
      <c r="AJ15" s="9">
        <v>705</v>
      </c>
      <c r="AK15" s="9" t="s">
        <v>10</v>
      </c>
      <c r="AL15" s="9">
        <v>1252.8501402213212</v>
      </c>
      <c r="AM15" s="9" t="s">
        <v>10</v>
      </c>
      <c r="AN15" s="9">
        <v>547.79999999999995</v>
      </c>
      <c r="AO15" s="9" t="s">
        <v>10</v>
      </c>
      <c r="AP15" s="9">
        <v>1048.4425700596785</v>
      </c>
      <c r="AQ15" s="9" t="s">
        <v>10</v>
      </c>
      <c r="AR15" s="9">
        <v>1025</v>
      </c>
      <c r="AS15" s="9" t="s">
        <v>10</v>
      </c>
      <c r="AT15" s="9">
        <v>5472.7866863460613</v>
      </c>
      <c r="AU15" s="9" t="s">
        <v>10</v>
      </c>
      <c r="AV15" s="9">
        <v>1285.1425700596785</v>
      </c>
      <c r="AW15" s="9" t="s">
        <v>10</v>
      </c>
      <c r="AX15" s="9">
        <v>713.00000000000011</v>
      </c>
      <c r="AY15" s="9" t="s">
        <v>10</v>
      </c>
      <c r="AZ15" s="9">
        <v>608.17934889245134</v>
      </c>
      <c r="BA15" s="9" t="s">
        <v>10</v>
      </c>
      <c r="BB15" s="9">
        <v>250</v>
      </c>
      <c r="BC15" s="9" t="s">
        <v>10</v>
      </c>
      <c r="BD15" s="9">
        <v>289.60000000000002</v>
      </c>
      <c r="BE15" s="9" t="s">
        <v>10</v>
      </c>
      <c r="BF15" s="9">
        <v>772.4</v>
      </c>
      <c r="BG15" s="9" t="s">
        <v>10</v>
      </c>
      <c r="BH15" s="9">
        <v>700.50000000000011</v>
      </c>
      <c r="BI15" s="9" t="s">
        <v>10</v>
      </c>
      <c r="BJ15" s="9">
        <v>878.84257005967856</v>
      </c>
      <c r="BK15" s="9" t="s">
        <v>10</v>
      </c>
      <c r="BL15" s="9">
        <v>799.06957920465936</v>
      </c>
      <c r="BM15" s="9" t="s">
        <v>10</v>
      </c>
      <c r="BN15" s="9">
        <v>1955.0489280971105</v>
      </c>
      <c r="BO15" s="9" t="s">
        <v>10</v>
      </c>
      <c r="BP15" s="9">
        <v>1151.6002185681543</v>
      </c>
      <c r="BQ15" s="9" t="s">
        <v>10</v>
      </c>
      <c r="BR15" s="9">
        <v>375.9131934216299</v>
      </c>
      <c r="BS15" s="9" t="s">
        <v>10</v>
      </c>
      <c r="BT15" s="9">
        <v>196.8</v>
      </c>
      <c r="BU15" s="9" t="s">
        <v>10</v>
      </c>
      <c r="BV15" s="9">
        <v>1311.9932109590272</v>
      </c>
      <c r="BW15" s="9" t="s">
        <v>10</v>
      </c>
      <c r="BX15" s="9">
        <v>0</v>
      </c>
      <c r="BY15" s="9" t="s">
        <v>10</v>
      </c>
      <c r="BZ15" s="9">
        <v>289.60000000000002</v>
      </c>
      <c r="CA15" s="9" t="s">
        <v>10</v>
      </c>
      <c r="CB15" s="9">
        <v>1082</v>
      </c>
      <c r="CC15" s="9" t="s">
        <v>10</v>
      </c>
      <c r="CD15" s="9">
        <v>0</v>
      </c>
      <c r="CE15" s="9" t="s">
        <v>10</v>
      </c>
      <c r="CF15" s="9">
        <v>289.60000000000002</v>
      </c>
      <c r="CG15" s="9" t="s">
        <v>10</v>
      </c>
      <c r="CH15" s="9">
        <v>547.79999999999995</v>
      </c>
      <c r="CI15" s="9" t="s">
        <v>10</v>
      </c>
      <c r="CJ15" s="9">
        <v>1616.0131934216301</v>
      </c>
      <c r="CK15" s="9" t="s">
        <v>10</v>
      </c>
      <c r="CL15" s="9">
        <v>2937.6425204075667</v>
      </c>
      <c r="CM15" s="9" t="s">
        <v>10</v>
      </c>
      <c r="CN15" s="9">
        <v>864.16957920465939</v>
      </c>
      <c r="CO15" s="9" t="s">
        <v>10</v>
      </c>
      <c r="CP15" s="9">
        <v>148.79999999999998</v>
      </c>
      <c r="CQ15" s="9" t="s">
        <v>10</v>
      </c>
      <c r="CR15" s="9">
        <v>289.60000000000002</v>
      </c>
      <c r="CS15" s="9" t="s">
        <v>10</v>
      </c>
      <c r="CT15" s="9">
        <v>345.6</v>
      </c>
      <c r="CU15" s="9" t="s">
        <v>10</v>
      </c>
      <c r="CV15" s="9">
        <v>1175.8000000000002</v>
      </c>
      <c r="CW15" s="9" t="s">
        <v>10</v>
      </c>
      <c r="CX15" s="9">
        <v>1674.7786573187054</v>
      </c>
      <c r="CY15" s="9" t="s">
        <v>10</v>
      </c>
      <c r="CZ15" s="9">
        <v>0</v>
      </c>
      <c r="DA15" s="9" t="s">
        <v>10</v>
      </c>
      <c r="DB15" s="9">
        <v>911.2</v>
      </c>
      <c r="DC15" s="9" t="s">
        <v>10</v>
      </c>
      <c r="DD15" s="9">
        <v>467.67789852428126</v>
      </c>
      <c r="DE15" s="9" t="s">
        <v>10</v>
      </c>
      <c r="DF15" s="9">
        <v>799.59321095902715</v>
      </c>
      <c r="DG15" s="9" t="s">
        <v>10</v>
      </c>
      <c r="DH15" s="9">
        <v>750</v>
      </c>
      <c r="DI15" s="9" t="s">
        <v>10</v>
      </c>
      <c r="DJ15" s="9">
        <v>2137.5</v>
      </c>
      <c r="DK15" s="9" t="s">
        <v>10</v>
      </c>
      <c r="DL15" s="9">
        <v>1953.6501402213212</v>
      </c>
      <c r="DM15" s="9" t="s">
        <v>10</v>
      </c>
      <c r="DN15" s="9">
        <v>881.06957920465936</v>
      </c>
      <c r="DO15" s="9" t="s">
        <v>10</v>
      </c>
      <c r="DP15" s="9">
        <v>2948.0235297472982</v>
      </c>
      <c r="DQ15" s="9" t="s">
        <v>10</v>
      </c>
      <c r="DR15" s="9">
        <v>618.79999999999995</v>
      </c>
      <c r="DS15" s="9" t="s">
        <v>10</v>
      </c>
      <c r="DT15" s="9">
        <v>509.05014022132127</v>
      </c>
      <c r="DU15" s="9" t="s">
        <v>10</v>
      </c>
      <c r="DV15" s="9">
        <v>1014.9656216194699</v>
      </c>
      <c r="DW15" s="9" t="s">
        <v>10</v>
      </c>
      <c r="DX15" s="9">
        <v>898.00000000000011</v>
      </c>
      <c r="DY15" s="9" t="s">
        <v>10</v>
      </c>
      <c r="DZ15" s="9">
        <v>912.66957920465939</v>
      </c>
      <c r="EA15" s="9" t="s">
        <v>10</v>
      </c>
      <c r="EB15" s="9">
        <v>1332.7425700596784</v>
      </c>
      <c r="EC15" s="9" t="s">
        <v>10</v>
      </c>
      <c r="ED15" s="9">
        <v>1351.6002185681543</v>
      </c>
      <c r="EE15" s="9" t="s">
        <v>10</v>
      </c>
      <c r="EF15" s="9">
        <v>413.4</v>
      </c>
      <c r="EG15" s="9" t="s">
        <v>10</v>
      </c>
      <c r="EH15" s="9">
        <v>148.79999999999998</v>
      </c>
      <c r="EI15" s="9" t="s">
        <v>10</v>
      </c>
      <c r="EJ15" s="9">
        <v>2865.1923380342087</v>
      </c>
      <c r="EK15" s="9" t="s">
        <v>10</v>
      </c>
      <c r="EL15" s="9">
        <v>802.1</v>
      </c>
      <c r="EM15" s="9" t="s">
        <v>10</v>
      </c>
      <c r="EN15" s="9">
        <v>1728.134201087945</v>
      </c>
      <c r="EO15" s="9" t="s">
        <v>10</v>
      </c>
      <c r="EP15" s="9">
        <v>1121.5</v>
      </c>
      <c r="EQ15" s="9" t="s">
        <v>10</v>
      </c>
      <c r="ER15" s="9">
        <v>1306.3778985242811</v>
      </c>
      <c r="ES15" s="9" t="s">
        <v>10</v>
      </c>
      <c r="ET15" s="9">
        <v>2888.5631565987637</v>
      </c>
      <c r="EU15" s="9" t="s">
        <v>10</v>
      </c>
      <c r="EV15" s="9">
        <v>0</v>
      </c>
      <c r="EW15" s="9" t="s">
        <v>10</v>
      </c>
      <c r="EX15" s="9">
        <v>948.57789852428118</v>
      </c>
      <c r="EY15" s="9" t="s">
        <v>10</v>
      </c>
      <c r="EZ15" s="9">
        <v>1000</v>
      </c>
      <c r="FA15" s="9" t="s">
        <v>10</v>
      </c>
      <c r="FB15" s="9">
        <v>20.100000000000001</v>
      </c>
      <c r="FC15" s="9" t="s">
        <v>10</v>
      </c>
      <c r="FD15" s="9">
        <v>789.31319342162988</v>
      </c>
      <c r="FE15" s="9" t="s">
        <v>10</v>
      </c>
      <c r="FF15" s="9">
        <v>640.09999999999991</v>
      </c>
      <c r="FG15" s="9" t="s">
        <v>10</v>
      </c>
      <c r="FH15" s="9">
        <v>1074.4000000000001</v>
      </c>
      <c r="FI15" s="9" t="s">
        <v>10</v>
      </c>
      <c r="FJ15" s="9">
        <v>1377.8501402213212</v>
      </c>
      <c r="FK15" s="9" t="s">
        <v>10</v>
      </c>
      <c r="FL15" s="9">
        <v>1219.8893286593527</v>
      </c>
      <c r="FM15" s="9" t="s">
        <v>10</v>
      </c>
      <c r="FN15" s="9">
        <v>1999.0695792046595</v>
      </c>
      <c r="FO15" s="9" t="s">
        <v>10</v>
      </c>
      <c r="FP15" s="9">
        <v>1736.8352008241293</v>
      </c>
      <c r="FQ15" s="9" t="s">
        <v>10</v>
      </c>
      <c r="FR15" s="9">
        <v>2071.5318987190312</v>
      </c>
      <c r="FS15" s="9" t="s">
        <v>10</v>
      </c>
      <c r="FT15" s="9">
        <v>1548.3</v>
      </c>
      <c r="FU15" s="9" t="s">
        <v>10</v>
      </c>
      <c r="FV15" s="9">
        <v>1189.4501402213214</v>
      </c>
      <c r="FW15" s="9" t="s">
        <v>10</v>
      </c>
      <c r="FX15" s="9">
        <v>113.6</v>
      </c>
      <c r="FY15" s="9" t="s">
        <v>10</v>
      </c>
      <c r="FZ15" s="9">
        <v>1163.3</v>
      </c>
      <c r="GA15" s="9" t="s">
        <v>10</v>
      </c>
      <c r="GB15" s="9">
        <v>1974.1435201437512</v>
      </c>
      <c r="GC15" s="9" t="s">
        <v>10</v>
      </c>
      <c r="GD15" s="9">
        <v>152.19999999999999</v>
      </c>
      <c r="GE15" s="9" t="s">
        <v>10</v>
      </c>
      <c r="GF15" s="9">
        <v>2575.7661554708211</v>
      </c>
      <c r="GG15" s="9" t="s">
        <v>10</v>
      </c>
      <c r="GH15" s="9">
        <v>389.96562161946986</v>
      </c>
      <c r="GI15" s="9" t="s">
        <v>10</v>
      </c>
      <c r="GJ15" s="9">
        <v>1091.0002185681544</v>
      </c>
      <c r="GK15" s="9" t="s">
        <v>10</v>
      </c>
      <c r="GL15" s="9">
        <v>0</v>
      </c>
      <c r="GM15" s="9" t="s">
        <v>10</v>
      </c>
      <c r="GN15" s="9">
        <v>471.96562161946986</v>
      </c>
      <c r="GO15" s="9" t="s">
        <v>10</v>
      </c>
      <c r="GP15" s="9">
        <v>27.2</v>
      </c>
      <c r="GQ15" s="9" t="s">
        <v>10</v>
      </c>
      <c r="GR15" s="9">
        <v>789.31319342162988</v>
      </c>
      <c r="GS15" s="9" t="s">
        <v>10</v>
      </c>
      <c r="GT15" s="9">
        <v>547.79999999999995</v>
      </c>
      <c r="GU15" s="9" t="s">
        <v>10</v>
      </c>
      <c r="GV15" s="9">
        <v>1311.3663740389757</v>
      </c>
      <c r="GW15" s="9" t="s">
        <v>10</v>
      </c>
      <c r="GX15" s="9">
        <v>1354.8501402213212</v>
      </c>
      <c r="GY15" s="9" t="s">
        <v>10</v>
      </c>
      <c r="GZ15" s="9">
        <v>332</v>
      </c>
      <c r="HA15" s="9" t="s">
        <v>10</v>
      </c>
      <c r="HB15" s="9">
        <v>637.5</v>
      </c>
      <c r="HC15" s="9" t="s">
        <v>10</v>
      </c>
      <c r="HD15" s="9">
        <v>570.4</v>
      </c>
      <c r="HE15" s="9" t="s">
        <v>10</v>
      </c>
      <c r="HF15" s="9">
        <v>2003.477898524281</v>
      </c>
      <c r="HG15" s="9" t="s">
        <v>10</v>
      </c>
      <c r="HH15" s="9">
        <v>389.96562161946986</v>
      </c>
      <c r="HI15" s="9" t="s">
        <v>10</v>
      </c>
      <c r="HJ15" s="9">
        <v>1974.0523518309487</v>
      </c>
      <c r="HK15" s="9" t="s">
        <v>10</v>
      </c>
      <c r="HL15" s="9">
        <v>342.6</v>
      </c>
      <c r="HM15" s="9" t="s">
        <v>10</v>
      </c>
      <c r="HN15" s="9">
        <v>260</v>
      </c>
      <c r="HO15" s="9" t="s">
        <v>10</v>
      </c>
      <c r="HP15" s="9">
        <v>65.099999999999994</v>
      </c>
      <c r="HQ15" s="9" t="s">
        <v>10</v>
      </c>
      <c r="HR15" s="9">
        <v>704.2317770902913</v>
      </c>
      <c r="HS15" s="9" t="s">
        <v>10</v>
      </c>
      <c r="HT15" s="9">
        <v>779.4</v>
      </c>
      <c r="HU15" s="9" t="s">
        <v>10</v>
      </c>
      <c r="HV15" s="9">
        <v>254.86615547082141</v>
      </c>
      <c r="HW15" s="9" t="s">
        <v>10</v>
      </c>
      <c r="HX15" s="9">
        <v>1228.2</v>
      </c>
      <c r="HY15" s="9" t="s">
        <v>10</v>
      </c>
      <c r="HZ15" s="9">
        <v>837.38932865935271</v>
      </c>
      <c r="IA15" s="9" t="s">
        <v>10</v>
      </c>
      <c r="IB15" s="9">
        <v>0</v>
      </c>
      <c r="IC15" s="9" t="s">
        <v>10</v>
      </c>
      <c r="ID15" s="9">
        <v>1476.8646218832855</v>
      </c>
      <c r="IE15" s="9" t="s">
        <v>10</v>
      </c>
      <c r="IF15" s="9">
        <v>1031.3357346754808</v>
      </c>
      <c r="IG15" s="9" t="s">
        <v>10</v>
      </c>
      <c r="IH15" s="9">
        <v>514.4</v>
      </c>
      <c r="II15" s="9" t="s">
        <v>10</v>
      </c>
      <c r="IJ15" s="9">
        <v>1320.9</v>
      </c>
      <c r="IK15" s="9" t="s">
        <v>10</v>
      </c>
      <c r="IL15" s="9">
        <v>2554.2557634813083</v>
      </c>
      <c r="IM15" s="9" t="s">
        <v>10</v>
      </c>
      <c r="IN15" s="9">
        <v>0</v>
      </c>
      <c r="IO15" s="9" t="s">
        <v>10</v>
      </c>
      <c r="IP15" s="9">
        <v>1470.9131934216298</v>
      </c>
      <c r="IQ15" s="9" t="s">
        <v>10</v>
      </c>
      <c r="IR15" s="9">
        <v>0</v>
      </c>
      <c r="IS15" s="9" t="s">
        <v>10</v>
      </c>
      <c r="IT15" s="9">
        <v>1258.8</v>
      </c>
      <c r="IU15" s="9" t="s">
        <v>10</v>
      </c>
      <c r="IV15" s="9">
        <v>389.96562161946986</v>
      </c>
      <c r="IW15" s="9" t="s">
        <v>10</v>
      </c>
      <c r="IX15" s="9">
        <v>1109.4656216194699</v>
      </c>
      <c r="IY15" s="9" t="s">
        <v>10</v>
      </c>
      <c r="IZ15" s="9">
        <v>2196.4646218832854</v>
      </c>
      <c r="JA15" s="9" t="s">
        <v>10</v>
      </c>
      <c r="JB15" s="9">
        <v>389.96562161946986</v>
      </c>
      <c r="JC15" s="9" t="s">
        <v>10</v>
      </c>
      <c r="JD15" s="9">
        <v>1518.4695792046596</v>
      </c>
      <c r="JE15" s="9" t="s">
        <v>10</v>
      </c>
      <c r="JF15" s="9">
        <v>1301.0425700596784</v>
      </c>
      <c r="JG15" s="9" t="s">
        <v>10</v>
      </c>
      <c r="JH15" s="9">
        <v>232.26615547082142</v>
      </c>
      <c r="JI15" s="9" t="s">
        <v>10</v>
      </c>
      <c r="JJ15" s="9">
        <v>1873.4695792046596</v>
      </c>
      <c r="JK15" s="9" t="s">
        <v>10</v>
      </c>
      <c r="JL15" s="9">
        <v>1816.1631565987636</v>
      </c>
      <c r="JM15" s="9" t="s">
        <v>10</v>
      </c>
      <c r="JN15" s="9">
        <v>929.06462188328567</v>
      </c>
      <c r="JO15" s="9" t="s">
        <v>10</v>
      </c>
      <c r="JP15" s="9">
        <v>2954.4318987190309</v>
      </c>
      <c r="JQ15" s="9" t="s">
        <v>10</v>
      </c>
      <c r="JR15" s="9">
        <v>492.1</v>
      </c>
      <c r="JS15" s="9" t="s">
        <v>10</v>
      </c>
      <c r="JT15" s="9">
        <v>947.5</v>
      </c>
      <c r="JU15" s="9" t="s">
        <v>10</v>
      </c>
      <c r="JV15" s="9">
        <v>509.70000000000005</v>
      </c>
      <c r="JW15" s="9" t="s">
        <v>10</v>
      </c>
      <c r="JX15" s="9">
        <v>464.53231094164283</v>
      </c>
      <c r="JY15" s="9" t="s">
        <v>10</v>
      </c>
      <c r="JZ15" s="9">
        <v>0</v>
      </c>
      <c r="KA15" s="9" t="s">
        <v>10</v>
      </c>
      <c r="KB15" s="9">
        <v>2476.0661554708213</v>
      </c>
      <c r="KC15" s="9" t="s">
        <v>10</v>
      </c>
      <c r="KD15" s="9">
        <v>985.67110948330833</v>
      </c>
      <c r="KE15" s="9" t="s">
        <v>10</v>
      </c>
      <c r="KF15" s="9">
        <v>0</v>
      </c>
      <c r="KG15" s="9" t="s">
        <v>10</v>
      </c>
      <c r="KH15" s="9" t="e">
        <f ca="1">SUM(KH4:KH13)</f>
        <v>#REF!</v>
      </c>
      <c r="KI15" s="9" t="s">
        <v>10</v>
      </c>
      <c r="KJ15" s="9" t="e">
        <f ca="1">SUM(KJ4:KJ13)</f>
        <v>#REF!</v>
      </c>
      <c r="KK15" s="9" t="s">
        <v>10</v>
      </c>
      <c r="KL15" s="9" t="e">
        <f ca="1">SUM(KL4:KL13)</f>
        <v>#REF!</v>
      </c>
      <c r="KM15" s="9" t="s">
        <v>10</v>
      </c>
      <c r="KN15" s="9" t="e">
        <f ca="1">SUM(KN4:KN13)</f>
        <v>#REF!</v>
      </c>
      <c r="KO15" s="9" t="s">
        <v>10</v>
      </c>
      <c r="KP15" s="9" t="e">
        <f ca="1">SUM(KP4:KP13)</f>
        <v>#REF!</v>
      </c>
      <c r="KQ15" s="9" t="s">
        <v>10</v>
      </c>
      <c r="KR15" s="9" t="e">
        <f ca="1">SUM(KR4:KR13)</f>
        <v>#REF!</v>
      </c>
      <c r="KS15" s="9" t="s">
        <v>10</v>
      </c>
      <c r="KT15" s="9">
        <v>65.099999999999994</v>
      </c>
      <c r="KU15" s="9" t="s">
        <v>10</v>
      </c>
      <c r="KV15" s="9">
        <v>680.40000000000009</v>
      </c>
      <c r="KW15" s="9" t="s">
        <v>10</v>
      </c>
      <c r="KX15" s="9">
        <v>22.6</v>
      </c>
      <c r="KY15" s="9" t="s">
        <v>10</v>
      </c>
      <c r="KZ15" s="9">
        <v>82</v>
      </c>
      <c r="LA15" s="9" t="s">
        <v>10</v>
      </c>
      <c r="LB15" s="9">
        <v>0</v>
      </c>
      <c r="LC15" s="9" t="s">
        <v>10</v>
      </c>
      <c r="LD15" s="9">
        <v>0</v>
      </c>
      <c r="LE15" s="9" t="s">
        <v>10</v>
      </c>
      <c r="LF15" s="9">
        <v>1261.5932109590271</v>
      </c>
      <c r="LG15" s="9" t="s">
        <v>10</v>
      </c>
      <c r="LH15" s="9">
        <v>1828.0934295271813</v>
      </c>
      <c r="LI15" s="9" t="s">
        <v>10</v>
      </c>
      <c r="LJ15" s="9">
        <v>2670.4524852581162</v>
      </c>
      <c r="LK15" s="9" t="s">
        <v>10</v>
      </c>
      <c r="LL15" s="9">
        <v>398.51319342162992</v>
      </c>
      <c r="LM15" s="9" t="s">
        <v>10</v>
      </c>
      <c r="LN15" s="9">
        <v>0</v>
      </c>
      <c r="LO15" s="9" t="s">
        <v>10</v>
      </c>
      <c r="LP15" s="9">
        <v>1717.2921194660546</v>
      </c>
      <c r="LQ15" s="9" t="s">
        <v>10</v>
      </c>
      <c r="LR15" s="9">
        <v>2092.3631565987639</v>
      </c>
      <c r="LS15" s="9" t="s">
        <v>10</v>
      </c>
      <c r="LT15" s="9">
        <v>1967.1893286593527</v>
      </c>
      <c r="LU15" s="9" t="s">
        <v>10</v>
      </c>
      <c r="LV15" s="9">
        <v>1174.1425700596785</v>
      </c>
      <c r="LW15" s="9" t="s">
        <v>10</v>
      </c>
      <c r="LX15" s="9">
        <v>591.05014022132127</v>
      </c>
      <c r="LY15" s="9" t="s">
        <v>10</v>
      </c>
      <c r="LZ15" s="9">
        <v>436.07789852428124</v>
      </c>
      <c r="MA15" s="9" t="s">
        <v>10</v>
      </c>
      <c r="MB15" s="9">
        <v>1027.2</v>
      </c>
      <c r="MC15" s="9" t="s">
        <v>10</v>
      </c>
      <c r="MD15" s="9">
        <v>1929.0646218832858</v>
      </c>
      <c r="ME15" s="9" t="s">
        <v>10</v>
      </c>
      <c r="MF15" s="9">
        <v>569.69321095902717</v>
      </c>
      <c r="MG15" s="9" t="s">
        <v>10</v>
      </c>
      <c r="MH15" s="9">
        <v>1295.0932109590271</v>
      </c>
      <c r="MI15" s="9" t="s">
        <v>10</v>
      </c>
      <c r="MJ15" s="9">
        <v>998.36562161946995</v>
      </c>
      <c r="MK15" s="9" t="s">
        <v>10</v>
      </c>
      <c r="ML15" s="9">
        <v>701.76615547082145</v>
      </c>
      <c r="MM15" s="9" t="s">
        <v>10</v>
      </c>
      <c r="MN15" s="9">
        <v>0</v>
      </c>
      <c r="MO15" s="9" t="s">
        <v>10</v>
      </c>
      <c r="MP15" s="9">
        <v>0</v>
      </c>
      <c r="MQ15" s="9" t="s">
        <v>10</v>
      </c>
      <c r="MR15" s="9">
        <v>0</v>
      </c>
      <c r="MS15" s="9" t="s">
        <v>10</v>
      </c>
      <c r="MT15" s="9">
        <v>872.09321095902715</v>
      </c>
      <c r="MU15" s="9" t="s">
        <v>10</v>
      </c>
      <c r="MV15" s="9">
        <v>1533.4711094833083</v>
      </c>
      <c r="MW15" s="9" t="s">
        <v>10</v>
      </c>
      <c r="MX15" s="9">
        <v>2692.3631565987635</v>
      </c>
      <c r="MY15" s="9" t="s">
        <v>10</v>
      </c>
      <c r="MZ15" s="9">
        <v>232.26615547082142</v>
      </c>
      <c r="NA15" s="9" t="s">
        <v>10</v>
      </c>
      <c r="NB15" s="9">
        <v>2518.1921194660549</v>
      </c>
      <c r="NC15" s="9" t="s">
        <v>10</v>
      </c>
      <c r="ND15" s="9">
        <v>455.06562161946988</v>
      </c>
      <c r="NE15" s="9" t="s">
        <v>10</v>
      </c>
      <c r="NF15" s="9">
        <v>440.59999999999997</v>
      </c>
      <c r="NG15" s="9" t="s">
        <v>10</v>
      </c>
      <c r="NH15" s="9">
        <v>3317.7327358034227</v>
      </c>
      <c r="NI15" s="9" t="s">
        <v>10</v>
      </c>
      <c r="NJ15" s="9">
        <v>0</v>
      </c>
      <c r="NK15" s="9" t="s">
        <v>10</v>
      </c>
      <c r="NL15" s="9">
        <v>579.20000000000005</v>
      </c>
      <c r="NM15" s="9" t="s">
        <v>10</v>
      </c>
      <c r="NN15" s="9">
        <v>1646.8000000000002</v>
      </c>
      <c r="NO15" s="9" t="s">
        <v>10</v>
      </c>
      <c r="NP15" s="9">
        <v>0</v>
      </c>
      <c r="NQ15" s="9" t="s">
        <v>10</v>
      </c>
      <c r="NR15" s="9">
        <v>1361.2695792046593</v>
      </c>
      <c r="NS15" s="9" t="s">
        <v>10</v>
      </c>
      <c r="NT15" s="9">
        <v>0</v>
      </c>
      <c r="NU15" s="9" t="s">
        <v>10</v>
      </c>
      <c r="NV15" s="9">
        <v>316.8</v>
      </c>
      <c r="NW15" s="9" t="s">
        <v>10</v>
      </c>
      <c r="NX15" s="9">
        <v>322.5</v>
      </c>
      <c r="NY15" s="9" t="s">
        <v>10</v>
      </c>
      <c r="NZ15" s="9">
        <v>960.66462188328569</v>
      </c>
      <c r="OA15" s="9" t="s">
        <v>10</v>
      </c>
      <c r="OB15" s="9">
        <v>0</v>
      </c>
      <c r="OC15" s="9" t="s">
        <v>10</v>
      </c>
      <c r="OD15" s="9">
        <v>3386.3552760648181</v>
      </c>
      <c r="OE15" s="9" t="s">
        <v>10</v>
      </c>
      <c r="OF15" s="9">
        <v>1867.5582749368759</v>
      </c>
      <c r="OG15" s="9" t="s">
        <v>10</v>
      </c>
      <c r="OH15" s="9">
        <v>508.2</v>
      </c>
      <c r="OI15" s="9" t="s">
        <v>10</v>
      </c>
      <c r="OJ15" s="9">
        <v>22.6</v>
      </c>
      <c r="OK15" s="9" t="s">
        <v>10</v>
      </c>
      <c r="OL15" s="9">
        <v>1000</v>
      </c>
      <c r="OM15" s="9" t="s">
        <v>10</v>
      </c>
      <c r="ON15" s="9">
        <v>0</v>
      </c>
      <c r="OO15" s="9" t="s">
        <v>10</v>
      </c>
      <c r="OP15" s="9">
        <v>1118.7002185681545</v>
      </c>
      <c r="OQ15" s="9" t="s">
        <v>10</v>
      </c>
      <c r="OR15" s="9">
        <v>148.79999999999998</v>
      </c>
      <c r="OS15" s="9" t="s">
        <v>10</v>
      </c>
      <c r="OT15" s="9">
        <v>665.9</v>
      </c>
      <c r="OU15" s="9" t="s">
        <v>10</v>
      </c>
      <c r="OV15" s="9">
        <v>321.20000000000005</v>
      </c>
      <c r="OW15" s="9" t="s">
        <v>10</v>
      </c>
      <c r="OX15" s="9">
        <v>0</v>
      </c>
      <c r="OY15" s="9" t="s">
        <v>10</v>
      </c>
      <c r="OZ15" s="9">
        <v>0</v>
      </c>
      <c r="PA15" s="9" t="s">
        <v>10</v>
      </c>
      <c r="PB15" s="9">
        <v>425.2</v>
      </c>
      <c r="PC15" s="9" t="s">
        <v>10</v>
      </c>
      <c r="PD15" s="9">
        <v>1075.6425700596785</v>
      </c>
      <c r="PE15" s="9" t="s">
        <v>10</v>
      </c>
      <c r="PF15" s="9">
        <v>403.11319342162989</v>
      </c>
      <c r="PG15" s="9" t="s">
        <v>10</v>
      </c>
      <c r="PH15" s="9">
        <v>2023.5913105140655</v>
      </c>
      <c r="PI15" s="9" t="s">
        <v>10</v>
      </c>
      <c r="PJ15" s="9">
        <v>625</v>
      </c>
      <c r="PK15" s="9" t="s">
        <v>10</v>
      </c>
      <c r="PL15" s="9">
        <v>417.16562161946985</v>
      </c>
      <c r="PM15" s="9" t="s">
        <v>10</v>
      </c>
      <c r="PN15" s="9">
        <v>2550.1327358034232</v>
      </c>
      <c r="PO15" s="9" t="s">
        <v>10</v>
      </c>
      <c r="PP15" s="9">
        <v>976.70021856815436</v>
      </c>
      <c r="PQ15" s="9" t="s">
        <v>10</v>
      </c>
      <c r="PR15" s="9">
        <v>1356.1002185681543</v>
      </c>
      <c r="PS15" s="9" t="s">
        <v>10</v>
      </c>
      <c r="PT15" s="9">
        <v>1503.7633336429512</v>
      </c>
      <c r="PU15" s="9" t="s">
        <v>10</v>
      </c>
      <c r="PV15" s="9">
        <v>1791.6</v>
      </c>
      <c r="PW15" s="9" t="s">
        <v>10</v>
      </c>
      <c r="PX15" s="9">
        <v>0</v>
      </c>
      <c r="PY15" s="9" t="s">
        <v>10</v>
      </c>
      <c r="PZ15" s="9">
        <v>845.39999999999986</v>
      </c>
      <c r="QA15" s="9" t="s">
        <v>10</v>
      </c>
      <c r="QB15" s="9">
        <v>2298.3656216194699</v>
      </c>
      <c r="QC15" s="9" t="s">
        <v>10</v>
      </c>
      <c r="QD15" s="9">
        <v>837.38932865935271</v>
      </c>
      <c r="QE15" s="9" t="s">
        <v>10</v>
      </c>
      <c r="QF15" s="9">
        <v>1321.0412321672325</v>
      </c>
      <c r="QG15" s="9" t="s">
        <v>10</v>
      </c>
      <c r="QH15" s="9">
        <v>1289.5999999999999</v>
      </c>
      <c r="QI15" s="9" t="s">
        <v>10</v>
      </c>
      <c r="QJ15" s="9">
        <v>289.60000000000002</v>
      </c>
      <c r="QK15" s="9" t="s">
        <v>10</v>
      </c>
      <c r="QL15" s="9">
        <v>857.26615547082145</v>
      </c>
      <c r="QM15" s="9" t="s">
        <v>10</v>
      </c>
      <c r="QN15" s="9">
        <v>492.29999999999995</v>
      </c>
      <c r="QO15" s="9" t="s">
        <v>10</v>
      </c>
      <c r="QP15" s="9">
        <v>27.2</v>
      </c>
      <c r="QQ15" s="9" t="s">
        <v>10</v>
      </c>
      <c r="QR15" s="9">
        <v>1378.7932109590272</v>
      </c>
      <c r="QS15" s="9" t="s">
        <v>10</v>
      </c>
      <c r="QT15" s="9">
        <v>0</v>
      </c>
      <c r="QU15" s="9" t="s">
        <v>10</v>
      </c>
      <c r="QV15" s="9">
        <v>1797.9588325784971</v>
      </c>
      <c r="QW15" s="9" t="s">
        <v>10</v>
      </c>
      <c r="QX15" s="9">
        <v>1188.615761840791</v>
      </c>
      <c r="QY15" s="9" t="s">
        <v>10</v>
      </c>
      <c r="QZ15" s="9">
        <v>4042.2287975400268</v>
      </c>
      <c r="RA15" s="9" t="s">
        <v>10</v>
      </c>
      <c r="RB15" s="9">
        <v>799.06957920465936</v>
      </c>
      <c r="RC15" s="9" t="s">
        <v>10</v>
      </c>
      <c r="RD15" s="9">
        <v>0</v>
      </c>
      <c r="RE15" s="9" t="s">
        <v>10</v>
      </c>
      <c r="RF15" s="9">
        <v>933.64257005967852</v>
      </c>
      <c r="RG15" s="9" t="s">
        <v>10</v>
      </c>
      <c r="RH15" s="9">
        <v>633.0661554708214</v>
      </c>
      <c r="RI15" s="9" t="s">
        <v>10</v>
      </c>
      <c r="RJ15" s="9">
        <v>837.38932865935271</v>
      </c>
      <c r="RK15" s="9" t="s">
        <v>10</v>
      </c>
      <c r="RL15" s="9">
        <v>625</v>
      </c>
      <c r="RM15" s="9" t="s">
        <v>10</v>
      </c>
      <c r="RN15" s="9">
        <v>608.40000000000009</v>
      </c>
      <c r="RO15" s="9" t="s">
        <v>10</v>
      </c>
      <c r="RP15" s="9">
        <v>1635.2921194660546</v>
      </c>
      <c r="RQ15" s="9" t="s">
        <v>10</v>
      </c>
      <c r="RR15" s="9">
        <v>51.7</v>
      </c>
      <c r="RS15" s="9" t="s">
        <v>10</v>
      </c>
      <c r="RT15" s="9">
        <v>2025.2577410855245</v>
      </c>
      <c r="RU15" s="9" t="s">
        <v>10</v>
      </c>
      <c r="RV15" s="9">
        <v>780.0661554708214</v>
      </c>
      <c r="RW15" s="9" t="s">
        <v>10</v>
      </c>
      <c r="RX15" s="9">
        <v>125</v>
      </c>
      <c r="RY15" s="9" t="s">
        <v>10</v>
      </c>
      <c r="RZ15" s="9">
        <v>725.67789852428132</v>
      </c>
      <c r="SA15" s="9" t="s">
        <v>10</v>
      </c>
      <c r="SB15" s="9">
        <v>681.66615547082142</v>
      </c>
      <c r="SC15" s="9" t="s">
        <v>10</v>
      </c>
      <c r="SD15" s="9">
        <v>65.099999999999994</v>
      </c>
      <c r="SE15" s="9" t="s">
        <v>10</v>
      </c>
      <c r="SF15" s="9">
        <v>65.099999999999994</v>
      </c>
      <c r="SG15" s="9" t="s">
        <v>10</v>
      </c>
      <c r="SH15" s="9">
        <v>1532.0425700596786</v>
      </c>
      <c r="SI15" s="9" t="s">
        <v>10</v>
      </c>
      <c r="SJ15" s="9">
        <v>781.86615547082135</v>
      </c>
    </row>
    <row r="16" spans="1:504" x14ac:dyDescent="0.25">
      <c r="A16" s="11" t="s">
        <v>243</v>
      </c>
      <c r="B16" s="11" t="e">
        <f ca="1">COUNTIF(#REF!,"&gt;"&amp;B15)+1</f>
        <v>#REF!</v>
      </c>
      <c r="C16" s="11"/>
      <c r="D16" s="9" t="s">
        <v>243</v>
      </c>
      <c r="F16" s="11" t="e">
        <f ca="1">COUNTIF(#REF!,"&gt;"&amp;F15)+1</f>
        <v>#REF!</v>
      </c>
      <c r="G16" s="9" t="s">
        <v>243</v>
      </c>
      <c r="H16" s="9">
        <v>242</v>
      </c>
      <c r="I16" s="9" t="s">
        <v>243</v>
      </c>
      <c r="J16" s="9">
        <v>223</v>
      </c>
      <c r="K16" s="9" t="s">
        <v>243</v>
      </c>
      <c r="L16" s="9">
        <v>188</v>
      </c>
      <c r="M16" s="9" t="s">
        <v>243</v>
      </c>
      <c r="N16" s="9">
        <v>251</v>
      </c>
      <c r="O16" s="9" t="s">
        <v>243</v>
      </c>
      <c r="P16" s="9">
        <v>159</v>
      </c>
      <c r="Q16" s="9" t="s">
        <v>243</v>
      </c>
      <c r="R16" s="9">
        <v>251</v>
      </c>
      <c r="S16" s="9" t="s">
        <v>243</v>
      </c>
      <c r="T16" s="9">
        <v>143</v>
      </c>
      <c r="U16" s="9" t="s">
        <v>243</v>
      </c>
      <c r="V16" s="9">
        <v>109</v>
      </c>
      <c r="W16" s="9" t="s">
        <v>243</v>
      </c>
      <c r="X16" s="9">
        <v>240</v>
      </c>
      <c r="Y16" s="9" t="s">
        <v>243</v>
      </c>
      <c r="Z16" s="9">
        <v>121</v>
      </c>
      <c r="AA16" s="9" t="s">
        <v>243</v>
      </c>
      <c r="AB16" s="9">
        <v>251</v>
      </c>
      <c r="AC16" s="9" t="s">
        <v>243</v>
      </c>
      <c r="AD16" s="9">
        <v>223</v>
      </c>
      <c r="AE16" s="9" t="s">
        <v>243</v>
      </c>
      <c r="AF16" s="9">
        <v>242</v>
      </c>
      <c r="AG16" s="9" t="s">
        <v>243</v>
      </c>
      <c r="AH16" s="9">
        <v>244</v>
      </c>
      <c r="AI16" s="9" t="s">
        <v>243</v>
      </c>
      <c r="AJ16" s="9">
        <v>225</v>
      </c>
      <c r="AK16" s="9" t="s">
        <v>243</v>
      </c>
      <c r="AL16" s="9">
        <v>182</v>
      </c>
      <c r="AM16" s="9" t="s">
        <v>243</v>
      </c>
      <c r="AN16" s="9">
        <v>235</v>
      </c>
      <c r="AO16" s="9" t="s">
        <v>243</v>
      </c>
      <c r="AP16" s="9">
        <v>205</v>
      </c>
      <c r="AQ16" s="9" t="s">
        <v>243</v>
      </c>
      <c r="AR16" s="9">
        <v>206</v>
      </c>
      <c r="AS16" s="9" t="s">
        <v>243</v>
      </c>
      <c r="AT16" s="9">
        <v>1</v>
      </c>
      <c r="AU16" s="9" t="s">
        <v>243</v>
      </c>
      <c r="AV16" s="9">
        <v>179</v>
      </c>
      <c r="AW16" s="9" t="s">
        <v>243</v>
      </c>
      <c r="AX16" s="9">
        <v>225</v>
      </c>
      <c r="AY16" s="9" t="s">
        <v>243</v>
      </c>
      <c r="AZ16" s="9">
        <v>230</v>
      </c>
      <c r="BA16" s="9" t="s">
        <v>243</v>
      </c>
      <c r="BB16" s="9">
        <v>244</v>
      </c>
      <c r="BC16" s="9" t="s">
        <v>243</v>
      </c>
      <c r="BD16" s="9">
        <v>242</v>
      </c>
      <c r="BE16" s="9" t="s">
        <v>243</v>
      </c>
      <c r="BF16" s="9">
        <v>223</v>
      </c>
      <c r="BG16" s="9" t="s">
        <v>243</v>
      </c>
      <c r="BH16" s="9">
        <v>225</v>
      </c>
      <c r="BI16" s="9" t="s">
        <v>243</v>
      </c>
      <c r="BJ16" s="9">
        <v>218</v>
      </c>
      <c r="BK16" s="9" t="s">
        <v>243</v>
      </c>
      <c r="BL16" s="9">
        <v>223</v>
      </c>
      <c r="BM16" s="9" t="s">
        <v>243</v>
      </c>
      <c r="BN16" s="9">
        <v>113</v>
      </c>
      <c r="BO16" s="9" t="s">
        <v>243</v>
      </c>
      <c r="BP16" s="9">
        <v>194</v>
      </c>
      <c r="BQ16" s="9" t="s">
        <v>243</v>
      </c>
      <c r="BR16" s="9">
        <v>240</v>
      </c>
      <c r="BS16" s="9" t="s">
        <v>243</v>
      </c>
      <c r="BT16" s="9">
        <v>246</v>
      </c>
      <c r="BU16" s="9" t="s">
        <v>243</v>
      </c>
      <c r="BV16" s="9">
        <v>177</v>
      </c>
      <c r="BW16" s="9" t="s">
        <v>243</v>
      </c>
      <c r="BX16" s="9">
        <v>251</v>
      </c>
      <c r="BY16" s="9" t="s">
        <v>243</v>
      </c>
      <c r="BZ16" s="9">
        <v>242</v>
      </c>
      <c r="CA16" s="9" t="s">
        <v>243</v>
      </c>
      <c r="CB16" s="9">
        <v>204</v>
      </c>
      <c r="CC16" s="9" t="s">
        <v>243</v>
      </c>
      <c r="CD16" s="9">
        <v>251</v>
      </c>
      <c r="CE16" s="9" t="s">
        <v>243</v>
      </c>
      <c r="CF16" s="9">
        <v>242</v>
      </c>
      <c r="CG16" s="9" t="s">
        <v>243</v>
      </c>
      <c r="CH16" s="9">
        <v>235</v>
      </c>
      <c r="CI16" s="9" t="s">
        <v>243</v>
      </c>
      <c r="CJ16" s="9">
        <v>143</v>
      </c>
      <c r="CK16" s="9" t="s">
        <v>243</v>
      </c>
      <c r="CL16" s="9">
        <v>36</v>
      </c>
      <c r="CM16" s="9" t="s">
        <v>243</v>
      </c>
      <c r="CN16" s="9">
        <v>219</v>
      </c>
      <c r="CO16" s="9" t="s">
        <v>243</v>
      </c>
      <c r="CP16" s="9">
        <v>248</v>
      </c>
      <c r="CQ16" s="9" t="s">
        <v>243</v>
      </c>
      <c r="CR16" s="9">
        <v>242</v>
      </c>
      <c r="CS16" s="9" t="s">
        <v>243</v>
      </c>
      <c r="CT16" s="9">
        <v>242</v>
      </c>
      <c r="CU16" s="9" t="s">
        <v>243</v>
      </c>
      <c r="CV16" s="9">
        <v>190</v>
      </c>
      <c r="CW16" s="9" t="s">
        <v>243</v>
      </c>
      <c r="CX16" s="9">
        <v>138</v>
      </c>
      <c r="CY16" s="9" t="s">
        <v>243</v>
      </c>
      <c r="CZ16" s="9">
        <v>251</v>
      </c>
      <c r="DA16" s="9" t="s">
        <v>243</v>
      </c>
      <c r="DB16" s="9">
        <v>215</v>
      </c>
      <c r="DC16" s="9" t="s">
        <v>243</v>
      </c>
      <c r="DD16" s="9">
        <v>239</v>
      </c>
      <c r="DE16" s="9" t="s">
        <v>243</v>
      </c>
      <c r="DF16" s="9">
        <v>223</v>
      </c>
      <c r="DG16" s="9" t="s">
        <v>243</v>
      </c>
      <c r="DH16" s="9">
        <v>223</v>
      </c>
      <c r="DI16" s="9" t="s">
        <v>243</v>
      </c>
      <c r="DJ16" s="9">
        <v>95</v>
      </c>
      <c r="DK16" s="9" t="s">
        <v>243</v>
      </c>
      <c r="DL16" s="9">
        <v>113</v>
      </c>
      <c r="DM16" s="9" t="s">
        <v>243</v>
      </c>
      <c r="DN16" s="9">
        <v>218</v>
      </c>
      <c r="DO16" s="9" t="s">
        <v>243</v>
      </c>
      <c r="DP16" s="9">
        <v>36</v>
      </c>
      <c r="DQ16" s="9" t="s">
        <v>243</v>
      </c>
      <c r="DR16" s="9">
        <v>230</v>
      </c>
      <c r="DS16" s="9" t="s">
        <v>243</v>
      </c>
      <c r="DT16" s="9">
        <v>237</v>
      </c>
      <c r="DU16" s="9" t="s">
        <v>243</v>
      </c>
      <c r="DV16" s="9">
        <v>206</v>
      </c>
      <c r="DW16" s="9" t="s">
        <v>243</v>
      </c>
      <c r="DX16" s="9">
        <v>216</v>
      </c>
      <c r="DY16" s="9" t="s">
        <v>243</v>
      </c>
      <c r="DZ16" s="9">
        <v>215</v>
      </c>
      <c r="EA16" s="9" t="s">
        <v>243</v>
      </c>
      <c r="EB16" s="9">
        <v>175</v>
      </c>
      <c r="EC16" s="9" t="s">
        <v>243</v>
      </c>
      <c r="ED16" s="9">
        <v>175</v>
      </c>
      <c r="EE16" s="9" t="s">
        <v>243</v>
      </c>
      <c r="EF16" s="9">
        <v>240</v>
      </c>
      <c r="EG16" s="9" t="s">
        <v>243</v>
      </c>
      <c r="EH16" s="9">
        <v>248</v>
      </c>
      <c r="EI16" s="9" t="s">
        <v>243</v>
      </c>
      <c r="EJ16" s="9">
        <v>38</v>
      </c>
      <c r="EK16" s="9" t="s">
        <v>243</v>
      </c>
      <c r="EL16" s="9">
        <v>223</v>
      </c>
      <c r="EM16" s="9" t="s">
        <v>243</v>
      </c>
      <c r="EN16" s="9">
        <v>136</v>
      </c>
      <c r="EO16" s="9" t="s">
        <v>243</v>
      </c>
      <c r="EP16" s="9">
        <v>197</v>
      </c>
      <c r="EQ16" s="9" t="s">
        <v>243</v>
      </c>
      <c r="ER16" s="9">
        <v>178</v>
      </c>
      <c r="ES16" s="9" t="s">
        <v>243</v>
      </c>
      <c r="ET16" s="9">
        <v>38</v>
      </c>
      <c r="EU16" s="9" t="s">
        <v>243</v>
      </c>
      <c r="EV16" s="9">
        <v>251</v>
      </c>
      <c r="EW16" s="9" t="s">
        <v>243</v>
      </c>
      <c r="EX16" s="9">
        <v>212</v>
      </c>
      <c r="EY16" s="9" t="s">
        <v>243</v>
      </c>
      <c r="EZ16" s="9">
        <v>208</v>
      </c>
      <c r="FA16" s="9" t="s">
        <v>243</v>
      </c>
      <c r="FB16" s="9">
        <v>251</v>
      </c>
      <c r="FC16" s="9" t="s">
        <v>243</v>
      </c>
      <c r="FD16" s="9">
        <v>223</v>
      </c>
      <c r="FE16" s="9" t="s">
        <v>243</v>
      </c>
      <c r="FF16" s="9">
        <v>229</v>
      </c>
      <c r="FG16" s="9" t="s">
        <v>243</v>
      </c>
      <c r="FH16" s="9">
        <v>204</v>
      </c>
      <c r="FI16" s="9" t="s">
        <v>243</v>
      </c>
      <c r="FJ16" s="9">
        <v>171</v>
      </c>
      <c r="FK16" s="9" t="s">
        <v>243</v>
      </c>
      <c r="FL16" s="9">
        <v>187</v>
      </c>
      <c r="FM16" s="9" t="s">
        <v>243</v>
      </c>
      <c r="FN16" s="9">
        <v>110</v>
      </c>
      <c r="FO16" s="9" t="s">
        <v>243</v>
      </c>
      <c r="FP16" s="9">
        <v>136</v>
      </c>
      <c r="FQ16" s="9" t="s">
        <v>243</v>
      </c>
      <c r="FR16" s="9">
        <v>106</v>
      </c>
      <c r="FS16" s="9" t="s">
        <v>243</v>
      </c>
      <c r="FT16" s="9">
        <v>151</v>
      </c>
      <c r="FU16" s="9" t="s">
        <v>243</v>
      </c>
      <c r="FV16" s="9">
        <v>189</v>
      </c>
      <c r="FW16" s="9" t="s">
        <v>243</v>
      </c>
      <c r="FX16" s="9">
        <v>248</v>
      </c>
      <c r="FY16" s="9" t="s">
        <v>243</v>
      </c>
      <c r="FZ16" s="9">
        <v>192</v>
      </c>
      <c r="GA16" s="9" t="s">
        <v>243</v>
      </c>
      <c r="GB16" s="9">
        <v>113</v>
      </c>
      <c r="GC16" s="9" t="s">
        <v>243</v>
      </c>
      <c r="GD16" s="9">
        <v>248</v>
      </c>
      <c r="GE16" s="9" t="s">
        <v>243</v>
      </c>
      <c r="GF16" s="9">
        <v>60</v>
      </c>
      <c r="GG16" s="9" t="s">
        <v>243</v>
      </c>
      <c r="GH16" s="9">
        <v>240</v>
      </c>
      <c r="GI16" s="9" t="s">
        <v>243</v>
      </c>
      <c r="GJ16" s="9">
        <v>204</v>
      </c>
      <c r="GK16" s="9" t="s">
        <v>243</v>
      </c>
      <c r="GL16" s="9">
        <v>251</v>
      </c>
      <c r="GM16" s="9" t="s">
        <v>243</v>
      </c>
      <c r="GN16" s="9">
        <v>238</v>
      </c>
      <c r="GO16" s="9" t="s">
        <v>243</v>
      </c>
      <c r="GP16" s="9">
        <v>249</v>
      </c>
      <c r="GQ16" s="9" t="s">
        <v>243</v>
      </c>
      <c r="GR16" s="9">
        <v>223</v>
      </c>
      <c r="GS16" s="9" t="s">
        <v>243</v>
      </c>
      <c r="GT16" s="9">
        <v>235</v>
      </c>
      <c r="GU16" s="9" t="s">
        <v>243</v>
      </c>
      <c r="GV16" s="9">
        <v>177</v>
      </c>
      <c r="GW16" s="9" t="s">
        <v>243</v>
      </c>
      <c r="GX16" s="9">
        <v>175</v>
      </c>
      <c r="GY16" s="9" t="s">
        <v>243</v>
      </c>
      <c r="GZ16" s="9">
        <v>242</v>
      </c>
      <c r="HA16" s="9" t="s">
        <v>243</v>
      </c>
      <c r="HB16" s="9">
        <v>229</v>
      </c>
      <c r="HC16" s="9" t="s">
        <v>243</v>
      </c>
      <c r="HD16" s="9">
        <v>235</v>
      </c>
      <c r="HE16" s="9" t="s">
        <v>243</v>
      </c>
      <c r="HF16" s="9">
        <v>110</v>
      </c>
      <c r="HG16" s="9" t="s">
        <v>243</v>
      </c>
      <c r="HH16" s="9">
        <v>240</v>
      </c>
      <c r="HI16" s="9" t="s">
        <v>243</v>
      </c>
      <c r="HJ16" s="9">
        <v>113</v>
      </c>
      <c r="HK16" s="9" t="s">
        <v>243</v>
      </c>
      <c r="HL16" s="9">
        <v>242</v>
      </c>
      <c r="HM16" s="9" t="s">
        <v>243</v>
      </c>
      <c r="HN16" s="9">
        <v>243</v>
      </c>
      <c r="HO16" s="9" t="s">
        <v>243</v>
      </c>
      <c r="HP16" s="9">
        <v>248</v>
      </c>
      <c r="HQ16" s="9" t="s">
        <v>243</v>
      </c>
      <c r="HR16" s="9">
        <v>225</v>
      </c>
      <c r="HS16" s="9" t="s">
        <v>243</v>
      </c>
      <c r="HT16" s="9">
        <v>223</v>
      </c>
      <c r="HU16" s="9" t="s">
        <v>243</v>
      </c>
      <c r="HV16" s="9">
        <v>243</v>
      </c>
      <c r="HW16" s="9" t="s">
        <v>243</v>
      </c>
      <c r="HX16" s="9">
        <v>187</v>
      </c>
      <c r="HY16" s="9" t="s">
        <v>243</v>
      </c>
      <c r="HZ16" s="9">
        <v>223</v>
      </c>
      <c r="IA16" s="9" t="s">
        <v>243</v>
      </c>
      <c r="IB16" s="9">
        <v>251</v>
      </c>
      <c r="IC16" s="9" t="s">
        <v>243</v>
      </c>
      <c r="ID16" s="9">
        <v>164</v>
      </c>
      <c r="IE16" s="9" t="s">
        <v>243</v>
      </c>
      <c r="IF16" s="9">
        <v>205</v>
      </c>
      <c r="IG16" s="9" t="s">
        <v>243</v>
      </c>
      <c r="IH16" s="9">
        <v>237</v>
      </c>
      <c r="II16" s="9" t="s">
        <v>243</v>
      </c>
      <c r="IJ16" s="9">
        <v>176</v>
      </c>
      <c r="IK16" s="9" t="s">
        <v>243</v>
      </c>
      <c r="IL16" s="9">
        <v>63</v>
      </c>
      <c r="IM16" s="9" t="s">
        <v>243</v>
      </c>
      <c r="IN16" s="9">
        <v>251</v>
      </c>
      <c r="IO16" s="9" t="s">
        <v>243</v>
      </c>
      <c r="IP16" s="9">
        <v>164</v>
      </c>
      <c r="IQ16" s="9" t="s">
        <v>243</v>
      </c>
      <c r="IR16" s="9">
        <v>251</v>
      </c>
      <c r="IS16" s="9" t="s">
        <v>243</v>
      </c>
      <c r="IT16" s="9">
        <v>182</v>
      </c>
      <c r="IU16" s="9" t="s">
        <v>243</v>
      </c>
      <c r="IV16" s="9">
        <v>240</v>
      </c>
      <c r="IW16" s="9" t="s">
        <v>243</v>
      </c>
      <c r="IX16" s="9">
        <v>200</v>
      </c>
      <c r="IY16" s="9" t="s">
        <v>243</v>
      </c>
      <c r="IZ16" s="9">
        <v>90</v>
      </c>
      <c r="JA16" s="9" t="s">
        <v>243</v>
      </c>
      <c r="JB16" s="9">
        <v>240</v>
      </c>
      <c r="JC16" s="9" t="s">
        <v>243</v>
      </c>
      <c r="JD16" s="9">
        <v>155</v>
      </c>
      <c r="JE16" s="9" t="s">
        <v>243</v>
      </c>
      <c r="JF16" s="9">
        <v>178</v>
      </c>
      <c r="JG16" s="9" t="s">
        <v>243</v>
      </c>
      <c r="JH16" s="9">
        <v>244</v>
      </c>
      <c r="JI16" s="9" t="s">
        <v>243</v>
      </c>
      <c r="JJ16" s="9">
        <v>122</v>
      </c>
      <c r="JK16" s="9" t="s">
        <v>243</v>
      </c>
      <c r="JL16" s="9">
        <v>131</v>
      </c>
      <c r="JM16" s="9" t="s">
        <v>243</v>
      </c>
      <c r="JN16" s="9">
        <v>213</v>
      </c>
      <c r="JO16" s="9" t="s">
        <v>243</v>
      </c>
      <c r="JP16" s="9">
        <v>36</v>
      </c>
      <c r="JQ16" s="9" t="s">
        <v>243</v>
      </c>
      <c r="JR16" s="9">
        <v>238</v>
      </c>
      <c r="JS16" s="9" t="s">
        <v>243</v>
      </c>
      <c r="JT16" s="9">
        <v>212</v>
      </c>
      <c r="JU16" s="9" t="s">
        <v>243</v>
      </c>
      <c r="JV16" s="9">
        <v>237</v>
      </c>
      <c r="JW16" s="9" t="s">
        <v>243</v>
      </c>
      <c r="JX16" s="9">
        <v>239</v>
      </c>
      <c r="JY16" s="9" t="s">
        <v>243</v>
      </c>
      <c r="JZ16" s="9">
        <v>251</v>
      </c>
      <c r="KA16" s="9" t="s">
        <v>243</v>
      </c>
      <c r="KB16" s="9">
        <v>66</v>
      </c>
      <c r="KC16" s="9" t="s">
        <v>243</v>
      </c>
      <c r="KD16" s="9">
        <v>210</v>
      </c>
      <c r="KE16" s="9" t="s">
        <v>243</v>
      </c>
      <c r="KF16" s="9">
        <v>251</v>
      </c>
      <c r="KG16" s="9" t="s">
        <v>243</v>
      </c>
      <c r="KH16" s="9" t="e">
        <f ca="1">COUNTIF(#REF!,"&gt;"&amp;KH15)+1</f>
        <v>#REF!</v>
      </c>
      <c r="KI16" s="9" t="s">
        <v>243</v>
      </c>
      <c r="KJ16" s="9" t="e">
        <f ca="1">COUNTIF(#REF!,"&gt;"&amp;KJ15)+1</f>
        <v>#REF!</v>
      </c>
      <c r="KK16" s="9" t="s">
        <v>243</v>
      </c>
      <c r="KL16" s="9" t="e">
        <f ca="1">COUNTIF(#REF!,"&gt;"&amp;KL15)+1</f>
        <v>#REF!</v>
      </c>
      <c r="KM16" s="9" t="s">
        <v>243</v>
      </c>
      <c r="KN16" s="9" t="e">
        <f ca="1">COUNTIF(#REF!,"&gt;"&amp;KN15)+1</f>
        <v>#REF!</v>
      </c>
      <c r="KO16" s="9" t="s">
        <v>243</v>
      </c>
      <c r="KP16" s="9" t="e">
        <f ca="1">COUNTIF(#REF!,"&gt;"&amp;KP15)+1</f>
        <v>#REF!</v>
      </c>
      <c r="KQ16" s="9" t="s">
        <v>243</v>
      </c>
      <c r="KR16" s="9" t="e">
        <f ca="1">COUNTIF(#REF!,"&gt;"&amp;KR15)+1</f>
        <v>#REF!</v>
      </c>
      <c r="KS16" s="9" t="s">
        <v>243</v>
      </c>
      <c r="KT16" s="9">
        <v>248</v>
      </c>
      <c r="KU16" s="9" t="s">
        <v>243</v>
      </c>
      <c r="KV16" s="9">
        <v>225</v>
      </c>
      <c r="KW16" s="9" t="s">
        <v>243</v>
      </c>
      <c r="KX16" s="9">
        <v>250</v>
      </c>
      <c r="KY16" s="9" t="s">
        <v>243</v>
      </c>
      <c r="KZ16" s="9">
        <v>248</v>
      </c>
      <c r="LA16" s="9" t="s">
        <v>243</v>
      </c>
      <c r="LB16" s="9">
        <v>251</v>
      </c>
      <c r="LC16" s="9" t="s">
        <v>243</v>
      </c>
      <c r="LD16" s="9">
        <v>251</v>
      </c>
      <c r="LE16" s="9" t="s">
        <v>243</v>
      </c>
      <c r="LF16" s="9">
        <v>182</v>
      </c>
      <c r="LG16" s="9" t="s">
        <v>243</v>
      </c>
      <c r="LH16" s="9">
        <v>130</v>
      </c>
      <c r="LI16" s="9" t="s">
        <v>243</v>
      </c>
      <c r="LJ16" s="9">
        <v>48</v>
      </c>
      <c r="LK16" s="9" t="s">
        <v>243</v>
      </c>
      <c r="LL16" s="9">
        <v>240</v>
      </c>
      <c r="LM16" s="9" t="s">
        <v>243</v>
      </c>
      <c r="LN16" s="9">
        <v>251</v>
      </c>
      <c r="LO16" s="9" t="s">
        <v>243</v>
      </c>
      <c r="LP16" s="9">
        <v>136</v>
      </c>
      <c r="LQ16" s="9" t="s">
        <v>243</v>
      </c>
      <c r="LR16" s="9">
        <v>105</v>
      </c>
      <c r="LS16" s="9" t="s">
        <v>243</v>
      </c>
      <c r="LT16" s="9">
        <v>113</v>
      </c>
      <c r="LU16" s="9" t="s">
        <v>243</v>
      </c>
      <c r="LV16" s="9">
        <v>190</v>
      </c>
      <c r="LW16" s="9" t="s">
        <v>243</v>
      </c>
      <c r="LX16" s="9">
        <v>233</v>
      </c>
      <c r="LY16" s="9" t="s">
        <v>243</v>
      </c>
      <c r="LZ16" s="9">
        <v>240</v>
      </c>
      <c r="MA16" s="9" t="s">
        <v>243</v>
      </c>
      <c r="MB16" s="9">
        <v>206</v>
      </c>
      <c r="MC16" s="9" t="s">
        <v>243</v>
      </c>
      <c r="MD16" s="9">
        <v>116</v>
      </c>
      <c r="ME16" s="9" t="s">
        <v>243</v>
      </c>
      <c r="MF16" s="9">
        <v>235</v>
      </c>
      <c r="MG16" s="9" t="s">
        <v>243</v>
      </c>
      <c r="MH16" s="9">
        <v>179</v>
      </c>
      <c r="MI16" s="9" t="s">
        <v>243</v>
      </c>
      <c r="MJ16" s="9">
        <v>208</v>
      </c>
      <c r="MK16" s="9" t="s">
        <v>243</v>
      </c>
      <c r="ML16" s="9">
        <v>225</v>
      </c>
      <c r="MM16" s="9" t="s">
        <v>243</v>
      </c>
      <c r="MN16" s="9">
        <v>251</v>
      </c>
      <c r="MO16" s="9" t="s">
        <v>243</v>
      </c>
      <c r="MP16" s="9">
        <v>251</v>
      </c>
      <c r="MQ16" s="9" t="s">
        <v>243</v>
      </c>
      <c r="MR16" s="9">
        <v>251</v>
      </c>
      <c r="MS16" s="9" t="s">
        <v>243</v>
      </c>
      <c r="MT16" s="9">
        <v>218</v>
      </c>
      <c r="MU16" s="9" t="s">
        <v>243</v>
      </c>
      <c r="MV16" s="9">
        <v>152</v>
      </c>
      <c r="MW16" s="9" t="s">
        <v>243</v>
      </c>
      <c r="MX16" s="9">
        <v>47</v>
      </c>
      <c r="MY16" s="9" t="s">
        <v>243</v>
      </c>
      <c r="MZ16" s="9">
        <v>244</v>
      </c>
      <c r="NA16" s="9" t="s">
        <v>243</v>
      </c>
      <c r="NB16" s="9">
        <v>65</v>
      </c>
      <c r="NC16" s="9" t="s">
        <v>243</v>
      </c>
      <c r="ND16" s="9">
        <v>239</v>
      </c>
      <c r="NE16" s="9" t="s">
        <v>243</v>
      </c>
      <c r="NF16" s="9">
        <v>240</v>
      </c>
      <c r="NG16" s="9" t="s">
        <v>243</v>
      </c>
      <c r="NH16" s="9">
        <v>23</v>
      </c>
      <c r="NI16" s="9" t="s">
        <v>243</v>
      </c>
      <c r="NJ16" s="9">
        <v>251</v>
      </c>
      <c r="NK16" s="9" t="s">
        <v>243</v>
      </c>
      <c r="NL16" s="9">
        <v>233</v>
      </c>
      <c r="NM16" s="9" t="s">
        <v>243</v>
      </c>
      <c r="NN16" s="9">
        <v>141</v>
      </c>
      <c r="NO16" s="9" t="s">
        <v>243</v>
      </c>
      <c r="NP16" s="9">
        <v>251</v>
      </c>
      <c r="NQ16" s="9" t="s">
        <v>243</v>
      </c>
      <c r="NR16" s="9">
        <v>173</v>
      </c>
      <c r="NS16" s="9" t="s">
        <v>243</v>
      </c>
      <c r="NT16" s="9">
        <v>251</v>
      </c>
      <c r="NU16" s="9" t="s">
        <v>243</v>
      </c>
      <c r="NV16" s="9">
        <v>242</v>
      </c>
      <c r="NW16" s="9" t="s">
        <v>243</v>
      </c>
      <c r="NX16" s="9">
        <v>242</v>
      </c>
      <c r="NY16" s="9" t="s">
        <v>243</v>
      </c>
      <c r="NZ16" s="9">
        <v>212</v>
      </c>
      <c r="OA16" s="9" t="s">
        <v>243</v>
      </c>
      <c r="OB16" s="9">
        <v>251</v>
      </c>
      <c r="OC16" s="9" t="s">
        <v>243</v>
      </c>
      <c r="OD16" s="9">
        <v>21</v>
      </c>
      <c r="OE16" s="9" t="s">
        <v>243</v>
      </c>
      <c r="OF16" s="9">
        <v>122</v>
      </c>
      <c r="OG16" s="9" t="s">
        <v>243</v>
      </c>
      <c r="OH16" s="9">
        <v>237</v>
      </c>
      <c r="OI16" s="9" t="s">
        <v>243</v>
      </c>
      <c r="OJ16" s="9">
        <v>250</v>
      </c>
      <c r="OK16" s="9" t="s">
        <v>243</v>
      </c>
      <c r="OL16" s="9">
        <v>208</v>
      </c>
      <c r="OM16" s="9" t="s">
        <v>243</v>
      </c>
      <c r="ON16" s="9">
        <v>251</v>
      </c>
      <c r="OO16" s="9" t="s">
        <v>243</v>
      </c>
      <c r="OP16" s="9">
        <v>198</v>
      </c>
      <c r="OQ16" s="9" t="s">
        <v>243</v>
      </c>
      <c r="OR16" s="9">
        <v>248</v>
      </c>
      <c r="OS16" s="9" t="s">
        <v>243</v>
      </c>
      <c r="OT16" s="9">
        <v>227</v>
      </c>
      <c r="OU16" s="9" t="s">
        <v>243</v>
      </c>
      <c r="OV16" s="9">
        <v>242</v>
      </c>
      <c r="OW16" s="9" t="s">
        <v>243</v>
      </c>
      <c r="OX16" s="9">
        <v>251</v>
      </c>
      <c r="OY16" s="9" t="s">
        <v>243</v>
      </c>
      <c r="OZ16" s="9">
        <v>251</v>
      </c>
      <c r="PA16" s="9" t="s">
        <v>243</v>
      </c>
      <c r="PB16" s="9">
        <v>240</v>
      </c>
      <c r="PC16" s="9" t="s">
        <v>243</v>
      </c>
      <c r="PD16" s="9">
        <v>204</v>
      </c>
      <c r="PE16" s="9" t="s">
        <v>243</v>
      </c>
      <c r="PF16" s="9">
        <v>240</v>
      </c>
      <c r="PG16" s="9" t="s">
        <v>243</v>
      </c>
      <c r="PH16" s="9">
        <v>109</v>
      </c>
      <c r="PI16" s="9" t="s">
        <v>243</v>
      </c>
      <c r="PJ16" s="9">
        <v>230</v>
      </c>
      <c r="PK16" s="9" t="s">
        <v>243</v>
      </c>
      <c r="PL16" s="9">
        <v>240</v>
      </c>
      <c r="PM16" s="9" t="s">
        <v>243</v>
      </c>
      <c r="PN16" s="9">
        <v>63</v>
      </c>
      <c r="PO16" s="9" t="s">
        <v>243</v>
      </c>
      <c r="PP16" s="9">
        <v>212</v>
      </c>
      <c r="PQ16" s="9" t="s">
        <v>243</v>
      </c>
      <c r="PR16" s="9">
        <v>175</v>
      </c>
      <c r="PS16" s="9" t="s">
        <v>243</v>
      </c>
      <c r="PT16" s="9">
        <v>158</v>
      </c>
      <c r="PU16" s="9" t="s">
        <v>243</v>
      </c>
      <c r="PV16" s="9">
        <v>132</v>
      </c>
      <c r="PW16" s="9" t="s">
        <v>243</v>
      </c>
      <c r="PX16" s="9">
        <v>251</v>
      </c>
      <c r="PY16" s="9" t="s">
        <v>243</v>
      </c>
      <c r="PZ16" s="9">
        <v>221</v>
      </c>
      <c r="QA16" s="9" t="s">
        <v>243</v>
      </c>
      <c r="QB16" s="9">
        <v>80</v>
      </c>
      <c r="QC16" s="9" t="s">
        <v>243</v>
      </c>
      <c r="QD16" s="9">
        <v>223</v>
      </c>
      <c r="QE16" s="9" t="s">
        <v>243</v>
      </c>
      <c r="QF16" s="9">
        <v>176</v>
      </c>
      <c r="QG16" s="9" t="s">
        <v>243</v>
      </c>
      <c r="QH16" s="9">
        <v>179</v>
      </c>
      <c r="QI16" s="9" t="s">
        <v>243</v>
      </c>
      <c r="QJ16" s="9">
        <v>242</v>
      </c>
      <c r="QK16" s="9" t="s">
        <v>243</v>
      </c>
      <c r="QL16" s="9">
        <v>220</v>
      </c>
      <c r="QM16" s="9" t="s">
        <v>243</v>
      </c>
      <c r="QN16" s="9">
        <v>238</v>
      </c>
      <c r="QO16" s="9" t="s">
        <v>243</v>
      </c>
      <c r="QP16" s="9">
        <v>249</v>
      </c>
      <c r="QQ16" s="9" t="s">
        <v>243</v>
      </c>
      <c r="QR16" s="9">
        <v>171</v>
      </c>
      <c r="QS16" s="9" t="s">
        <v>243</v>
      </c>
      <c r="QT16" s="9">
        <v>251</v>
      </c>
      <c r="QU16" s="9" t="s">
        <v>243</v>
      </c>
      <c r="QV16" s="9">
        <v>132</v>
      </c>
      <c r="QW16" s="9" t="s">
        <v>243</v>
      </c>
      <c r="QX16" s="9">
        <v>190</v>
      </c>
      <c r="QY16" s="9" t="s">
        <v>243</v>
      </c>
      <c r="QZ16" s="9">
        <v>10</v>
      </c>
      <c r="RA16" s="9" t="s">
        <v>243</v>
      </c>
      <c r="RB16" s="9">
        <v>223</v>
      </c>
      <c r="RC16" s="9" t="s">
        <v>243</v>
      </c>
      <c r="RD16" s="9">
        <v>251</v>
      </c>
      <c r="RE16" s="9" t="s">
        <v>243</v>
      </c>
      <c r="RF16" s="9">
        <v>213</v>
      </c>
      <c r="RG16" s="9" t="s">
        <v>243</v>
      </c>
      <c r="RH16" s="9">
        <v>229</v>
      </c>
      <c r="RI16" s="9" t="s">
        <v>243</v>
      </c>
      <c r="RJ16" s="9">
        <v>223</v>
      </c>
      <c r="RK16" s="9" t="s">
        <v>243</v>
      </c>
      <c r="RL16" s="9">
        <v>230</v>
      </c>
      <c r="RM16" s="9" t="s">
        <v>243</v>
      </c>
      <c r="RN16" s="9">
        <v>230</v>
      </c>
      <c r="RO16" s="9" t="s">
        <v>243</v>
      </c>
      <c r="RP16" s="9">
        <v>143</v>
      </c>
      <c r="RQ16" s="9" t="s">
        <v>243</v>
      </c>
      <c r="RR16" s="9">
        <v>248</v>
      </c>
      <c r="RS16" s="9" t="s">
        <v>243</v>
      </c>
      <c r="RT16" s="9">
        <v>109</v>
      </c>
      <c r="RU16" s="9" t="s">
        <v>243</v>
      </c>
      <c r="RV16" s="9">
        <v>223</v>
      </c>
      <c r="RW16" s="9" t="s">
        <v>243</v>
      </c>
      <c r="RX16" s="9">
        <v>248</v>
      </c>
      <c r="RY16" s="9" t="s">
        <v>243</v>
      </c>
      <c r="RZ16" s="9">
        <v>225</v>
      </c>
      <c r="SA16" s="9" t="s">
        <v>243</v>
      </c>
      <c r="SB16" s="9">
        <v>225</v>
      </c>
      <c r="SC16" s="9" t="s">
        <v>243</v>
      </c>
      <c r="SD16" s="9">
        <v>248</v>
      </c>
      <c r="SE16" s="9" t="s">
        <v>243</v>
      </c>
      <c r="SF16" s="9">
        <v>248</v>
      </c>
      <c r="SG16" s="9" t="s">
        <v>243</v>
      </c>
      <c r="SH16" s="9">
        <v>152</v>
      </c>
      <c r="SI16" s="9" t="s">
        <v>243</v>
      </c>
      <c r="SJ16" s="9">
        <v>223</v>
      </c>
    </row>
    <row r="18" spans="1:2" x14ac:dyDescent="0.25">
      <c r="A18" s="10" t="s">
        <v>246</v>
      </c>
      <c r="B18" s="9">
        <f ca="1">COUNT($E$15:$SJ$15)</f>
        <v>243</v>
      </c>
    </row>
    <row r="19" spans="1:2" x14ac:dyDescent="0.25">
      <c r="A19" s="10" t="s">
        <v>244</v>
      </c>
      <c r="B19" s="9" t="e">
        <f ca="1">MIN($E$16:$SJ$16)</f>
        <v>#REF!</v>
      </c>
    </row>
    <row r="20" spans="1:2" x14ac:dyDescent="0.25">
      <c r="A20" s="10" t="s">
        <v>245</v>
      </c>
      <c r="B20" s="9" t="e">
        <f ca="1">MAX($E$16:$SJ$16)</f>
        <v>#REF!</v>
      </c>
    </row>
    <row r="21" spans="1:2" x14ac:dyDescent="0.25">
      <c r="A21" s="10" t="s">
        <v>247</v>
      </c>
      <c r="B21" s="9" t="e">
        <f ca="1">AVERAGE($E$16:$SJ$16)</f>
        <v>#REF!</v>
      </c>
    </row>
    <row r="24" spans="1:2" x14ac:dyDescent="0.25">
      <c r="A24" s="10" t="s">
        <v>248</v>
      </c>
      <c r="B24" s="12" t="s">
        <v>249</v>
      </c>
    </row>
    <row r="25" spans="1:2" x14ac:dyDescent="0.25">
      <c r="A25" s="9">
        <v>1</v>
      </c>
      <c r="B25" s="9">
        <f ca="1">COUNTIF($D$16:$SJ$16,$A25)</f>
        <v>1</v>
      </c>
    </row>
    <row r="26" spans="1:2" x14ac:dyDescent="0.25">
      <c r="A26" s="9">
        <f>A25+1</f>
        <v>2</v>
      </c>
      <c r="B26" s="9">
        <f ca="1">COUNTIF($D$16:$SJ$16,$A26)</f>
        <v>0</v>
      </c>
    </row>
    <row r="27" spans="1:2" x14ac:dyDescent="0.25">
      <c r="A27" s="9">
        <f t="shared" ref="A27:A90" si="0">A26+1</f>
        <v>3</v>
      </c>
      <c r="B27" s="9">
        <f t="shared" ref="B27:B90" ca="1" si="1">COUNTIF($D$16:$SJ$16,$A27)</f>
        <v>0</v>
      </c>
    </row>
    <row r="28" spans="1:2" x14ac:dyDescent="0.25">
      <c r="A28" s="9">
        <f t="shared" si="0"/>
        <v>4</v>
      </c>
      <c r="B28" s="9">
        <f t="shared" ca="1" si="1"/>
        <v>0</v>
      </c>
    </row>
    <row r="29" spans="1:2" x14ac:dyDescent="0.25">
      <c r="A29" s="9">
        <f t="shared" si="0"/>
        <v>5</v>
      </c>
      <c r="B29" s="9">
        <f t="shared" ca="1" si="1"/>
        <v>0</v>
      </c>
    </row>
    <row r="30" spans="1:2" x14ac:dyDescent="0.25">
      <c r="A30" s="9">
        <f t="shared" si="0"/>
        <v>6</v>
      </c>
      <c r="B30" s="9">
        <f t="shared" ca="1" si="1"/>
        <v>0</v>
      </c>
    </row>
    <row r="31" spans="1:2" x14ac:dyDescent="0.25">
      <c r="A31" s="9">
        <f t="shared" si="0"/>
        <v>7</v>
      </c>
      <c r="B31" s="9">
        <f t="shared" ca="1" si="1"/>
        <v>0</v>
      </c>
    </row>
    <row r="32" spans="1:2" x14ac:dyDescent="0.25">
      <c r="A32" s="9">
        <f t="shared" si="0"/>
        <v>8</v>
      </c>
      <c r="B32" s="9">
        <f t="shared" ca="1" si="1"/>
        <v>0</v>
      </c>
    </row>
    <row r="33" spans="1:2" x14ac:dyDescent="0.25">
      <c r="A33" s="9">
        <f t="shared" si="0"/>
        <v>9</v>
      </c>
      <c r="B33" s="9">
        <f t="shared" ca="1" si="1"/>
        <v>0</v>
      </c>
    </row>
    <row r="34" spans="1:2" x14ac:dyDescent="0.25">
      <c r="A34" s="9">
        <f t="shared" si="0"/>
        <v>10</v>
      </c>
      <c r="B34" s="9">
        <f t="shared" ca="1" si="1"/>
        <v>1</v>
      </c>
    </row>
    <row r="35" spans="1:2" x14ac:dyDescent="0.25">
      <c r="A35" s="9">
        <f t="shared" si="0"/>
        <v>11</v>
      </c>
      <c r="B35" s="9">
        <f t="shared" ca="1" si="1"/>
        <v>0</v>
      </c>
    </row>
    <row r="36" spans="1:2" x14ac:dyDescent="0.25">
      <c r="A36" s="9">
        <f t="shared" si="0"/>
        <v>12</v>
      </c>
      <c r="B36" s="9">
        <f t="shared" ca="1" si="1"/>
        <v>0</v>
      </c>
    </row>
    <row r="37" spans="1:2" x14ac:dyDescent="0.25">
      <c r="A37" s="9">
        <f t="shared" si="0"/>
        <v>13</v>
      </c>
      <c r="B37" s="9">
        <f t="shared" ca="1" si="1"/>
        <v>0</v>
      </c>
    </row>
    <row r="38" spans="1:2" x14ac:dyDescent="0.25">
      <c r="A38" s="9">
        <f t="shared" si="0"/>
        <v>14</v>
      </c>
      <c r="B38" s="9">
        <f t="shared" ca="1" si="1"/>
        <v>0</v>
      </c>
    </row>
    <row r="39" spans="1:2" x14ac:dyDescent="0.25">
      <c r="A39" s="9">
        <f t="shared" si="0"/>
        <v>15</v>
      </c>
      <c r="B39" s="9">
        <f t="shared" ca="1" si="1"/>
        <v>0</v>
      </c>
    </row>
    <row r="40" spans="1:2" x14ac:dyDescent="0.25">
      <c r="A40" s="9">
        <f t="shared" si="0"/>
        <v>16</v>
      </c>
      <c r="B40" s="9">
        <f t="shared" ca="1" si="1"/>
        <v>0</v>
      </c>
    </row>
    <row r="41" spans="1:2" x14ac:dyDescent="0.25">
      <c r="A41" s="9">
        <f t="shared" si="0"/>
        <v>17</v>
      </c>
      <c r="B41" s="9">
        <f t="shared" ca="1" si="1"/>
        <v>0</v>
      </c>
    </row>
    <row r="42" spans="1:2" x14ac:dyDescent="0.25">
      <c r="A42" s="9">
        <f t="shared" si="0"/>
        <v>18</v>
      </c>
      <c r="B42" s="9">
        <f t="shared" ca="1" si="1"/>
        <v>0</v>
      </c>
    </row>
    <row r="43" spans="1:2" x14ac:dyDescent="0.25">
      <c r="A43" s="9">
        <f t="shared" si="0"/>
        <v>19</v>
      </c>
      <c r="B43" s="9">
        <f t="shared" ca="1" si="1"/>
        <v>0</v>
      </c>
    </row>
    <row r="44" spans="1:2" x14ac:dyDescent="0.25">
      <c r="A44" s="9">
        <f t="shared" si="0"/>
        <v>20</v>
      </c>
      <c r="B44" s="9">
        <f t="shared" ca="1" si="1"/>
        <v>0</v>
      </c>
    </row>
    <row r="45" spans="1:2" x14ac:dyDescent="0.25">
      <c r="A45" s="9">
        <f t="shared" si="0"/>
        <v>21</v>
      </c>
      <c r="B45" s="9">
        <f t="shared" ca="1" si="1"/>
        <v>1</v>
      </c>
    </row>
    <row r="46" spans="1:2" x14ac:dyDescent="0.25">
      <c r="A46" s="9">
        <f t="shared" si="0"/>
        <v>22</v>
      </c>
      <c r="B46" s="9">
        <f t="shared" ca="1" si="1"/>
        <v>0</v>
      </c>
    </row>
    <row r="47" spans="1:2" x14ac:dyDescent="0.25">
      <c r="A47" s="9">
        <f t="shared" si="0"/>
        <v>23</v>
      </c>
      <c r="B47" s="9">
        <f t="shared" ca="1" si="1"/>
        <v>1</v>
      </c>
    </row>
    <row r="48" spans="1:2" x14ac:dyDescent="0.25">
      <c r="A48" s="9">
        <f t="shared" si="0"/>
        <v>24</v>
      </c>
      <c r="B48" s="9">
        <f t="shared" ca="1" si="1"/>
        <v>0</v>
      </c>
    </row>
    <row r="49" spans="1:2" x14ac:dyDescent="0.25">
      <c r="A49" s="9">
        <f t="shared" si="0"/>
        <v>25</v>
      </c>
      <c r="B49" s="9">
        <f t="shared" ca="1" si="1"/>
        <v>0</v>
      </c>
    </row>
    <row r="50" spans="1:2" x14ac:dyDescent="0.25">
      <c r="A50" s="9">
        <f t="shared" si="0"/>
        <v>26</v>
      </c>
      <c r="B50" s="9">
        <f t="shared" ca="1" si="1"/>
        <v>0</v>
      </c>
    </row>
    <row r="51" spans="1:2" x14ac:dyDescent="0.25">
      <c r="A51" s="9">
        <f t="shared" si="0"/>
        <v>27</v>
      </c>
      <c r="B51" s="9">
        <f t="shared" ca="1" si="1"/>
        <v>0</v>
      </c>
    </row>
    <row r="52" spans="1:2" x14ac:dyDescent="0.25">
      <c r="A52" s="9">
        <f t="shared" si="0"/>
        <v>28</v>
      </c>
      <c r="B52" s="9">
        <f t="shared" ca="1" si="1"/>
        <v>0</v>
      </c>
    </row>
    <row r="53" spans="1:2" x14ac:dyDescent="0.25">
      <c r="A53" s="9">
        <f t="shared" si="0"/>
        <v>29</v>
      </c>
      <c r="B53" s="9">
        <f t="shared" ca="1" si="1"/>
        <v>0</v>
      </c>
    </row>
    <row r="54" spans="1:2" x14ac:dyDescent="0.25">
      <c r="A54" s="9">
        <f t="shared" si="0"/>
        <v>30</v>
      </c>
      <c r="B54" s="9">
        <f t="shared" ca="1" si="1"/>
        <v>0</v>
      </c>
    </row>
    <row r="55" spans="1:2" x14ac:dyDescent="0.25">
      <c r="A55" s="9">
        <f t="shared" si="0"/>
        <v>31</v>
      </c>
      <c r="B55" s="9">
        <f t="shared" ca="1" si="1"/>
        <v>0</v>
      </c>
    </row>
    <row r="56" spans="1:2" x14ac:dyDescent="0.25">
      <c r="A56" s="9">
        <f t="shared" si="0"/>
        <v>32</v>
      </c>
      <c r="B56" s="9">
        <f t="shared" ca="1" si="1"/>
        <v>0</v>
      </c>
    </row>
    <row r="57" spans="1:2" x14ac:dyDescent="0.25">
      <c r="A57" s="9">
        <f t="shared" si="0"/>
        <v>33</v>
      </c>
      <c r="B57" s="9">
        <f t="shared" ca="1" si="1"/>
        <v>0</v>
      </c>
    </row>
    <row r="58" spans="1:2" x14ac:dyDescent="0.25">
      <c r="A58" s="9">
        <f t="shared" si="0"/>
        <v>34</v>
      </c>
      <c r="B58" s="9">
        <f t="shared" ca="1" si="1"/>
        <v>0</v>
      </c>
    </row>
    <row r="59" spans="1:2" x14ac:dyDescent="0.25">
      <c r="A59" s="9">
        <f t="shared" si="0"/>
        <v>35</v>
      </c>
      <c r="B59" s="9">
        <f t="shared" ca="1" si="1"/>
        <v>0</v>
      </c>
    </row>
    <row r="60" spans="1:2" x14ac:dyDescent="0.25">
      <c r="A60" s="9">
        <f t="shared" si="0"/>
        <v>36</v>
      </c>
      <c r="B60" s="9">
        <f t="shared" ca="1" si="1"/>
        <v>3</v>
      </c>
    </row>
    <row r="61" spans="1:2" x14ac:dyDescent="0.25">
      <c r="A61" s="9">
        <f t="shared" si="0"/>
        <v>37</v>
      </c>
      <c r="B61" s="9">
        <f t="shared" ca="1" si="1"/>
        <v>0</v>
      </c>
    </row>
    <row r="62" spans="1:2" x14ac:dyDescent="0.25">
      <c r="A62" s="9">
        <f t="shared" si="0"/>
        <v>38</v>
      </c>
      <c r="B62" s="9">
        <f t="shared" ca="1" si="1"/>
        <v>2</v>
      </c>
    </row>
    <row r="63" spans="1:2" x14ac:dyDescent="0.25">
      <c r="A63" s="9">
        <f t="shared" si="0"/>
        <v>39</v>
      </c>
      <c r="B63" s="9">
        <f t="shared" ca="1" si="1"/>
        <v>0</v>
      </c>
    </row>
    <row r="64" spans="1:2" x14ac:dyDescent="0.25">
      <c r="A64" s="9">
        <f t="shared" si="0"/>
        <v>40</v>
      </c>
      <c r="B64" s="9">
        <f t="shared" ca="1" si="1"/>
        <v>0</v>
      </c>
    </row>
    <row r="65" spans="1:2" x14ac:dyDescent="0.25">
      <c r="A65" s="9">
        <f t="shared" si="0"/>
        <v>41</v>
      </c>
      <c r="B65" s="9">
        <f t="shared" ca="1" si="1"/>
        <v>0</v>
      </c>
    </row>
    <row r="66" spans="1:2" x14ac:dyDescent="0.25">
      <c r="A66" s="9">
        <f t="shared" si="0"/>
        <v>42</v>
      </c>
      <c r="B66" s="9">
        <f t="shared" ca="1" si="1"/>
        <v>0</v>
      </c>
    </row>
    <row r="67" spans="1:2" x14ac:dyDescent="0.25">
      <c r="A67" s="9">
        <f t="shared" si="0"/>
        <v>43</v>
      </c>
      <c r="B67" s="9">
        <f t="shared" ca="1" si="1"/>
        <v>0</v>
      </c>
    </row>
    <row r="68" spans="1:2" x14ac:dyDescent="0.25">
      <c r="A68" s="9">
        <f t="shared" si="0"/>
        <v>44</v>
      </c>
      <c r="B68" s="9">
        <f t="shared" ca="1" si="1"/>
        <v>0</v>
      </c>
    </row>
    <row r="69" spans="1:2" x14ac:dyDescent="0.25">
      <c r="A69" s="9">
        <f t="shared" si="0"/>
        <v>45</v>
      </c>
      <c r="B69" s="9">
        <f t="shared" ca="1" si="1"/>
        <v>0</v>
      </c>
    </row>
    <row r="70" spans="1:2" x14ac:dyDescent="0.25">
      <c r="A70" s="9">
        <f t="shared" si="0"/>
        <v>46</v>
      </c>
      <c r="B70" s="9">
        <f t="shared" ca="1" si="1"/>
        <v>0</v>
      </c>
    </row>
    <row r="71" spans="1:2" x14ac:dyDescent="0.25">
      <c r="A71" s="9">
        <f t="shared" si="0"/>
        <v>47</v>
      </c>
      <c r="B71" s="9">
        <f t="shared" ca="1" si="1"/>
        <v>1</v>
      </c>
    </row>
    <row r="72" spans="1:2" x14ac:dyDescent="0.25">
      <c r="A72" s="9">
        <f t="shared" si="0"/>
        <v>48</v>
      </c>
      <c r="B72" s="9">
        <f t="shared" ca="1" si="1"/>
        <v>1</v>
      </c>
    </row>
    <row r="73" spans="1:2" x14ac:dyDescent="0.25">
      <c r="A73" s="9">
        <f t="shared" si="0"/>
        <v>49</v>
      </c>
      <c r="B73" s="9">
        <f t="shared" ca="1" si="1"/>
        <v>0</v>
      </c>
    </row>
    <row r="74" spans="1:2" x14ac:dyDescent="0.25">
      <c r="A74" s="9">
        <f t="shared" si="0"/>
        <v>50</v>
      </c>
      <c r="B74" s="9">
        <f t="shared" ca="1" si="1"/>
        <v>0</v>
      </c>
    </row>
    <row r="75" spans="1:2" x14ac:dyDescent="0.25">
      <c r="A75" s="9">
        <f t="shared" si="0"/>
        <v>51</v>
      </c>
      <c r="B75" s="9">
        <f t="shared" ca="1" si="1"/>
        <v>0</v>
      </c>
    </row>
    <row r="76" spans="1:2" x14ac:dyDescent="0.25">
      <c r="A76" s="9">
        <f t="shared" si="0"/>
        <v>52</v>
      </c>
      <c r="B76" s="9">
        <f t="shared" ca="1" si="1"/>
        <v>0</v>
      </c>
    </row>
    <row r="77" spans="1:2" x14ac:dyDescent="0.25">
      <c r="A77" s="9">
        <f t="shared" si="0"/>
        <v>53</v>
      </c>
      <c r="B77" s="9">
        <f t="shared" ca="1" si="1"/>
        <v>0</v>
      </c>
    </row>
    <row r="78" spans="1:2" x14ac:dyDescent="0.25">
      <c r="A78" s="9">
        <f t="shared" si="0"/>
        <v>54</v>
      </c>
      <c r="B78" s="9">
        <f t="shared" ca="1" si="1"/>
        <v>0</v>
      </c>
    </row>
    <row r="79" spans="1:2" x14ac:dyDescent="0.25">
      <c r="A79" s="9">
        <f t="shared" si="0"/>
        <v>55</v>
      </c>
      <c r="B79" s="9">
        <f t="shared" ca="1" si="1"/>
        <v>0</v>
      </c>
    </row>
    <row r="80" spans="1:2" x14ac:dyDescent="0.25">
      <c r="A80" s="9">
        <f t="shared" si="0"/>
        <v>56</v>
      </c>
      <c r="B80" s="9">
        <f t="shared" ca="1" si="1"/>
        <v>0</v>
      </c>
    </row>
    <row r="81" spans="1:2" x14ac:dyDescent="0.25">
      <c r="A81" s="9">
        <f t="shared" si="0"/>
        <v>57</v>
      </c>
      <c r="B81" s="9">
        <f t="shared" ca="1" si="1"/>
        <v>0</v>
      </c>
    </row>
    <row r="82" spans="1:2" x14ac:dyDescent="0.25">
      <c r="A82" s="9">
        <f t="shared" si="0"/>
        <v>58</v>
      </c>
      <c r="B82" s="9">
        <f t="shared" ca="1" si="1"/>
        <v>0</v>
      </c>
    </row>
    <row r="83" spans="1:2" x14ac:dyDescent="0.25">
      <c r="A83" s="9">
        <f t="shared" si="0"/>
        <v>59</v>
      </c>
      <c r="B83" s="9">
        <f t="shared" ca="1" si="1"/>
        <v>0</v>
      </c>
    </row>
    <row r="84" spans="1:2" x14ac:dyDescent="0.25">
      <c r="A84" s="9">
        <f t="shared" si="0"/>
        <v>60</v>
      </c>
      <c r="B84" s="9">
        <f t="shared" ca="1" si="1"/>
        <v>1</v>
      </c>
    </row>
    <row r="85" spans="1:2" x14ac:dyDescent="0.25">
      <c r="A85" s="9">
        <f t="shared" si="0"/>
        <v>61</v>
      </c>
      <c r="B85" s="9">
        <f t="shared" ca="1" si="1"/>
        <v>0</v>
      </c>
    </row>
    <row r="86" spans="1:2" x14ac:dyDescent="0.25">
      <c r="A86" s="9">
        <f t="shared" si="0"/>
        <v>62</v>
      </c>
      <c r="B86" s="9">
        <f t="shared" ca="1" si="1"/>
        <v>0</v>
      </c>
    </row>
    <row r="87" spans="1:2" x14ac:dyDescent="0.25">
      <c r="A87" s="9">
        <f t="shared" si="0"/>
        <v>63</v>
      </c>
      <c r="B87" s="9">
        <f t="shared" ca="1" si="1"/>
        <v>2</v>
      </c>
    </row>
    <row r="88" spans="1:2" x14ac:dyDescent="0.25">
      <c r="A88" s="9">
        <f t="shared" si="0"/>
        <v>64</v>
      </c>
      <c r="B88" s="9">
        <f t="shared" ca="1" si="1"/>
        <v>0</v>
      </c>
    </row>
    <row r="89" spans="1:2" x14ac:dyDescent="0.25">
      <c r="A89" s="9">
        <f t="shared" si="0"/>
        <v>65</v>
      </c>
      <c r="B89" s="9">
        <f t="shared" ca="1" si="1"/>
        <v>1</v>
      </c>
    </row>
    <row r="90" spans="1:2" x14ac:dyDescent="0.25">
      <c r="A90" s="9">
        <f t="shared" si="0"/>
        <v>66</v>
      </c>
      <c r="B90" s="9">
        <f t="shared" ca="1" si="1"/>
        <v>1</v>
      </c>
    </row>
    <row r="91" spans="1:2" x14ac:dyDescent="0.25">
      <c r="A91" s="9">
        <f t="shared" ref="A91:A154" si="2">A90+1</f>
        <v>67</v>
      </c>
      <c r="B91" s="9">
        <f t="shared" ref="B91:B154" ca="1" si="3">COUNTIF($D$16:$SJ$16,$A91)</f>
        <v>0</v>
      </c>
    </row>
    <row r="92" spans="1:2" x14ac:dyDescent="0.25">
      <c r="A92" s="9">
        <f t="shared" si="2"/>
        <v>68</v>
      </c>
      <c r="B92" s="9">
        <f t="shared" ca="1" si="3"/>
        <v>0</v>
      </c>
    </row>
    <row r="93" spans="1:2" x14ac:dyDescent="0.25">
      <c r="A93" s="9">
        <f t="shared" si="2"/>
        <v>69</v>
      </c>
      <c r="B93" s="9">
        <f t="shared" ca="1" si="3"/>
        <v>0</v>
      </c>
    </row>
    <row r="94" spans="1:2" x14ac:dyDescent="0.25">
      <c r="A94" s="9">
        <f t="shared" si="2"/>
        <v>70</v>
      </c>
      <c r="B94" s="9">
        <f t="shared" ca="1" si="3"/>
        <v>0</v>
      </c>
    </row>
    <row r="95" spans="1:2" x14ac:dyDescent="0.25">
      <c r="A95" s="9">
        <f t="shared" si="2"/>
        <v>71</v>
      </c>
      <c r="B95" s="9">
        <f t="shared" ca="1" si="3"/>
        <v>0</v>
      </c>
    </row>
    <row r="96" spans="1:2" x14ac:dyDescent="0.25">
      <c r="A96" s="9">
        <f t="shared" si="2"/>
        <v>72</v>
      </c>
      <c r="B96" s="9">
        <f t="shared" ca="1" si="3"/>
        <v>0</v>
      </c>
    </row>
    <row r="97" spans="1:2" x14ac:dyDescent="0.25">
      <c r="A97" s="9">
        <f t="shared" si="2"/>
        <v>73</v>
      </c>
      <c r="B97" s="9">
        <f t="shared" ca="1" si="3"/>
        <v>0</v>
      </c>
    </row>
    <row r="98" spans="1:2" x14ac:dyDescent="0.25">
      <c r="A98" s="9">
        <f t="shared" si="2"/>
        <v>74</v>
      </c>
      <c r="B98" s="9">
        <f t="shared" ca="1" si="3"/>
        <v>0</v>
      </c>
    </row>
    <row r="99" spans="1:2" x14ac:dyDescent="0.25">
      <c r="A99" s="9">
        <f t="shared" si="2"/>
        <v>75</v>
      </c>
      <c r="B99" s="9">
        <f t="shared" ca="1" si="3"/>
        <v>0</v>
      </c>
    </row>
    <row r="100" spans="1:2" x14ac:dyDescent="0.25">
      <c r="A100" s="9">
        <f t="shared" si="2"/>
        <v>76</v>
      </c>
      <c r="B100" s="9">
        <f t="shared" ca="1" si="3"/>
        <v>0</v>
      </c>
    </row>
    <row r="101" spans="1:2" x14ac:dyDescent="0.25">
      <c r="A101" s="9">
        <f t="shared" si="2"/>
        <v>77</v>
      </c>
      <c r="B101" s="9">
        <f t="shared" ca="1" si="3"/>
        <v>0</v>
      </c>
    </row>
    <row r="102" spans="1:2" x14ac:dyDescent="0.25">
      <c r="A102" s="9">
        <f t="shared" si="2"/>
        <v>78</v>
      </c>
      <c r="B102" s="9">
        <f t="shared" ca="1" si="3"/>
        <v>0</v>
      </c>
    </row>
    <row r="103" spans="1:2" x14ac:dyDescent="0.25">
      <c r="A103" s="9">
        <f t="shared" si="2"/>
        <v>79</v>
      </c>
      <c r="B103" s="9">
        <f t="shared" ca="1" si="3"/>
        <v>0</v>
      </c>
    </row>
    <row r="104" spans="1:2" x14ac:dyDescent="0.25">
      <c r="A104" s="9">
        <f t="shared" si="2"/>
        <v>80</v>
      </c>
      <c r="B104" s="9">
        <f t="shared" ca="1" si="3"/>
        <v>1</v>
      </c>
    </row>
    <row r="105" spans="1:2" x14ac:dyDescent="0.25">
      <c r="A105" s="9">
        <f t="shared" si="2"/>
        <v>81</v>
      </c>
      <c r="B105" s="9">
        <f t="shared" ca="1" si="3"/>
        <v>0</v>
      </c>
    </row>
    <row r="106" spans="1:2" x14ac:dyDescent="0.25">
      <c r="A106" s="9">
        <f t="shared" si="2"/>
        <v>82</v>
      </c>
      <c r="B106" s="9">
        <f t="shared" ca="1" si="3"/>
        <v>0</v>
      </c>
    </row>
    <row r="107" spans="1:2" x14ac:dyDescent="0.25">
      <c r="A107" s="9">
        <f t="shared" si="2"/>
        <v>83</v>
      </c>
      <c r="B107" s="9">
        <f t="shared" ca="1" si="3"/>
        <v>0</v>
      </c>
    </row>
    <row r="108" spans="1:2" x14ac:dyDescent="0.25">
      <c r="A108" s="9">
        <f t="shared" si="2"/>
        <v>84</v>
      </c>
      <c r="B108" s="9">
        <f t="shared" ca="1" si="3"/>
        <v>0</v>
      </c>
    </row>
    <row r="109" spans="1:2" x14ac:dyDescent="0.25">
      <c r="A109" s="9">
        <f t="shared" si="2"/>
        <v>85</v>
      </c>
      <c r="B109" s="9">
        <f t="shared" ca="1" si="3"/>
        <v>0</v>
      </c>
    </row>
    <row r="110" spans="1:2" x14ac:dyDescent="0.25">
      <c r="A110" s="9">
        <f t="shared" si="2"/>
        <v>86</v>
      </c>
      <c r="B110" s="9">
        <f t="shared" ca="1" si="3"/>
        <v>0</v>
      </c>
    </row>
    <row r="111" spans="1:2" x14ac:dyDescent="0.25">
      <c r="A111" s="9">
        <f t="shared" si="2"/>
        <v>87</v>
      </c>
      <c r="B111" s="9">
        <f t="shared" ca="1" si="3"/>
        <v>0</v>
      </c>
    </row>
    <row r="112" spans="1:2" x14ac:dyDescent="0.25">
      <c r="A112" s="9">
        <f t="shared" si="2"/>
        <v>88</v>
      </c>
      <c r="B112" s="9">
        <f t="shared" ca="1" si="3"/>
        <v>0</v>
      </c>
    </row>
    <row r="113" spans="1:2" x14ac:dyDescent="0.25">
      <c r="A113" s="9">
        <f t="shared" si="2"/>
        <v>89</v>
      </c>
      <c r="B113" s="9">
        <f t="shared" ca="1" si="3"/>
        <v>0</v>
      </c>
    </row>
    <row r="114" spans="1:2" x14ac:dyDescent="0.25">
      <c r="A114" s="9">
        <f t="shared" si="2"/>
        <v>90</v>
      </c>
      <c r="B114" s="9">
        <f t="shared" ca="1" si="3"/>
        <v>1</v>
      </c>
    </row>
    <row r="115" spans="1:2" x14ac:dyDescent="0.25">
      <c r="A115" s="9">
        <f t="shared" si="2"/>
        <v>91</v>
      </c>
      <c r="B115" s="9">
        <f t="shared" ca="1" si="3"/>
        <v>0</v>
      </c>
    </row>
    <row r="116" spans="1:2" x14ac:dyDescent="0.25">
      <c r="A116" s="9">
        <f t="shared" si="2"/>
        <v>92</v>
      </c>
      <c r="B116" s="9">
        <f t="shared" ca="1" si="3"/>
        <v>0</v>
      </c>
    </row>
    <row r="117" spans="1:2" x14ac:dyDescent="0.25">
      <c r="A117" s="9">
        <f t="shared" si="2"/>
        <v>93</v>
      </c>
      <c r="B117" s="9">
        <f t="shared" ca="1" si="3"/>
        <v>0</v>
      </c>
    </row>
    <row r="118" spans="1:2" x14ac:dyDescent="0.25">
      <c r="A118" s="9">
        <f t="shared" si="2"/>
        <v>94</v>
      </c>
      <c r="B118" s="9">
        <f t="shared" ca="1" si="3"/>
        <v>0</v>
      </c>
    </row>
    <row r="119" spans="1:2" x14ac:dyDescent="0.25">
      <c r="A119" s="9">
        <f t="shared" si="2"/>
        <v>95</v>
      </c>
      <c r="B119" s="9">
        <f t="shared" ca="1" si="3"/>
        <v>1</v>
      </c>
    </row>
    <row r="120" spans="1:2" x14ac:dyDescent="0.25">
      <c r="A120" s="9">
        <f t="shared" si="2"/>
        <v>96</v>
      </c>
      <c r="B120" s="9">
        <f t="shared" ca="1" si="3"/>
        <v>0</v>
      </c>
    </row>
    <row r="121" spans="1:2" x14ac:dyDescent="0.25">
      <c r="A121" s="9">
        <f t="shared" si="2"/>
        <v>97</v>
      </c>
      <c r="B121" s="9">
        <f t="shared" ca="1" si="3"/>
        <v>0</v>
      </c>
    </row>
    <row r="122" spans="1:2" x14ac:dyDescent="0.25">
      <c r="A122" s="9">
        <f t="shared" si="2"/>
        <v>98</v>
      </c>
      <c r="B122" s="9">
        <f t="shared" ca="1" si="3"/>
        <v>0</v>
      </c>
    </row>
    <row r="123" spans="1:2" x14ac:dyDescent="0.25">
      <c r="A123" s="9">
        <f t="shared" si="2"/>
        <v>99</v>
      </c>
      <c r="B123" s="9">
        <f t="shared" ca="1" si="3"/>
        <v>0</v>
      </c>
    </row>
    <row r="124" spans="1:2" x14ac:dyDescent="0.25">
      <c r="A124" s="9">
        <f t="shared" si="2"/>
        <v>100</v>
      </c>
      <c r="B124" s="9">
        <f t="shared" ca="1" si="3"/>
        <v>0</v>
      </c>
    </row>
    <row r="125" spans="1:2" x14ac:dyDescent="0.25">
      <c r="A125" s="9">
        <f t="shared" si="2"/>
        <v>101</v>
      </c>
      <c r="B125" s="9">
        <f t="shared" ca="1" si="3"/>
        <v>0</v>
      </c>
    </row>
    <row r="126" spans="1:2" x14ac:dyDescent="0.25">
      <c r="A126" s="9">
        <f t="shared" si="2"/>
        <v>102</v>
      </c>
      <c r="B126" s="9">
        <f t="shared" ca="1" si="3"/>
        <v>0</v>
      </c>
    </row>
    <row r="127" spans="1:2" x14ac:dyDescent="0.25">
      <c r="A127" s="9">
        <f t="shared" si="2"/>
        <v>103</v>
      </c>
      <c r="B127" s="9">
        <f t="shared" ca="1" si="3"/>
        <v>0</v>
      </c>
    </row>
    <row r="128" spans="1:2" x14ac:dyDescent="0.25">
      <c r="A128" s="9">
        <f t="shared" si="2"/>
        <v>104</v>
      </c>
      <c r="B128" s="9">
        <f t="shared" ca="1" si="3"/>
        <v>0</v>
      </c>
    </row>
    <row r="129" spans="1:2" x14ac:dyDescent="0.25">
      <c r="A129" s="9">
        <f t="shared" si="2"/>
        <v>105</v>
      </c>
      <c r="B129" s="9">
        <f t="shared" ca="1" si="3"/>
        <v>1</v>
      </c>
    </row>
    <row r="130" spans="1:2" x14ac:dyDescent="0.25">
      <c r="A130" s="9">
        <f t="shared" si="2"/>
        <v>106</v>
      </c>
      <c r="B130" s="9">
        <f t="shared" ca="1" si="3"/>
        <v>1</v>
      </c>
    </row>
    <row r="131" spans="1:2" x14ac:dyDescent="0.25">
      <c r="A131" s="9">
        <f t="shared" si="2"/>
        <v>107</v>
      </c>
      <c r="B131" s="9">
        <f t="shared" ca="1" si="3"/>
        <v>0</v>
      </c>
    </row>
    <row r="132" spans="1:2" x14ac:dyDescent="0.25">
      <c r="A132" s="9">
        <f t="shared" si="2"/>
        <v>108</v>
      </c>
      <c r="B132" s="9">
        <f t="shared" ca="1" si="3"/>
        <v>0</v>
      </c>
    </row>
    <row r="133" spans="1:2" x14ac:dyDescent="0.25">
      <c r="A133" s="9">
        <f t="shared" si="2"/>
        <v>109</v>
      </c>
      <c r="B133" s="9">
        <f t="shared" ca="1" si="3"/>
        <v>3</v>
      </c>
    </row>
    <row r="134" spans="1:2" x14ac:dyDescent="0.25">
      <c r="A134" s="9">
        <f t="shared" si="2"/>
        <v>110</v>
      </c>
      <c r="B134" s="9">
        <f t="shared" ca="1" si="3"/>
        <v>2</v>
      </c>
    </row>
    <row r="135" spans="1:2" x14ac:dyDescent="0.25">
      <c r="A135" s="9">
        <f t="shared" si="2"/>
        <v>111</v>
      </c>
      <c r="B135" s="9">
        <f t="shared" ca="1" si="3"/>
        <v>0</v>
      </c>
    </row>
    <row r="136" spans="1:2" x14ac:dyDescent="0.25">
      <c r="A136" s="9">
        <f t="shared" si="2"/>
        <v>112</v>
      </c>
      <c r="B136" s="9">
        <f t="shared" ca="1" si="3"/>
        <v>0</v>
      </c>
    </row>
    <row r="137" spans="1:2" x14ac:dyDescent="0.25">
      <c r="A137" s="9">
        <f t="shared" si="2"/>
        <v>113</v>
      </c>
      <c r="B137" s="9">
        <f t="shared" ca="1" si="3"/>
        <v>5</v>
      </c>
    </row>
    <row r="138" spans="1:2" x14ac:dyDescent="0.25">
      <c r="A138" s="9">
        <f t="shared" si="2"/>
        <v>114</v>
      </c>
      <c r="B138" s="9">
        <f t="shared" ca="1" si="3"/>
        <v>0</v>
      </c>
    </row>
    <row r="139" spans="1:2" x14ac:dyDescent="0.25">
      <c r="A139" s="9">
        <f t="shared" si="2"/>
        <v>115</v>
      </c>
      <c r="B139" s="9">
        <f t="shared" ca="1" si="3"/>
        <v>0</v>
      </c>
    </row>
    <row r="140" spans="1:2" x14ac:dyDescent="0.25">
      <c r="A140" s="9">
        <f t="shared" si="2"/>
        <v>116</v>
      </c>
      <c r="B140" s="9">
        <f t="shared" ca="1" si="3"/>
        <v>1</v>
      </c>
    </row>
    <row r="141" spans="1:2" x14ac:dyDescent="0.25">
      <c r="A141" s="9">
        <f t="shared" si="2"/>
        <v>117</v>
      </c>
      <c r="B141" s="9">
        <f t="shared" ca="1" si="3"/>
        <v>0</v>
      </c>
    </row>
    <row r="142" spans="1:2" x14ac:dyDescent="0.25">
      <c r="A142" s="9">
        <f t="shared" si="2"/>
        <v>118</v>
      </c>
      <c r="B142" s="9">
        <f t="shared" ca="1" si="3"/>
        <v>0</v>
      </c>
    </row>
    <row r="143" spans="1:2" x14ac:dyDescent="0.25">
      <c r="A143" s="9">
        <f t="shared" si="2"/>
        <v>119</v>
      </c>
      <c r="B143" s="9">
        <f t="shared" ca="1" si="3"/>
        <v>0</v>
      </c>
    </row>
    <row r="144" spans="1:2" x14ac:dyDescent="0.25">
      <c r="A144" s="9">
        <f t="shared" si="2"/>
        <v>120</v>
      </c>
      <c r="B144" s="9">
        <f t="shared" ca="1" si="3"/>
        <v>0</v>
      </c>
    </row>
    <row r="145" spans="1:2" x14ac:dyDescent="0.25">
      <c r="A145" s="9">
        <f t="shared" si="2"/>
        <v>121</v>
      </c>
      <c r="B145" s="9">
        <f t="shared" ca="1" si="3"/>
        <v>1</v>
      </c>
    </row>
    <row r="146" spans="1:2" x14ac:dyDescent="0.25">
      <c r="A146" s="9">
        <f t="shared" si="2"/>
        <v>122</v>
      </c>
      <c r="B146" s="9">
        <f t="shared" ca="1" si="3"/>
        <v>2</v>
      </c>
    </row>
    <row r="147" spans="1:2" x14ac:dyDescent="0.25">
      <c r="A147" s="9">
        <f t="shared" si="2"/>
        <v>123</v>
      </c>
      <c r="B147" s="9">
        <f t="shared" ca="1" si="3"/>
        <v>0</v>
      </c>
    </row>
    <row r="148" spans="1:2" x14ac:dyDescent="0.25">
      <c r="A148" s="9">
        <f t="shared" si="2"/>
        <v>124</v>
      </c>
      <c r="B148" s="9">
        <f t="shared" ca="1" si="3"/>
        <v>0</v>
      </c>
    </row>
    <row r="149" spans="1:2" x14ac:dyDescent="0.25">
      <c r="A149" s="9">
        <f t="shared" si="2"/>
        <v>125</v>
      </c>
      <c r="B149" s="9">
        <f t="shared" ca="1" si="3"/>
        <v>0</v>
      </c>
    </row>
    <row r="150" spans="1:2" x14ac:dyDescent="0.25">
      <c r="A150" s="9">
        <f t="shared" si="2"/>
        <v>126</v>
      </c>
      <c r="B150" s="9">
        <f t="shared" ca="1" si="3"/>
        <v>0</v>
      </c>
    </row>
    <row r="151" spans="1:2" x14ac:dyDescent="0.25">
      <c r="A151" s="9">
        <f t="shared" si="2"/>
        <v>127</v>
      </c>
      <c r="B151" s="9">
        <f t="shared" ca="1" si="3"/>
        <v>0</v>
      </c>
    </row>
    <row r="152" spans="1:2" x14ac:dyDescent="0.25">
      <c r="A152" s="9">
        <f t="shared" si="2"/>
        <v>128</v>
      </c>
      <c r="B152" s="9">
        <f t="shared" ca="1" si="3"/>
        <v>0</v>
      </c>
    </row>
    <row r="153" spans="1:2" x14ac:dyDescent="0.25">
      <c r="A153" s="9">
        <f t="shared" si="2"/>
        <v>129</v>
      </c>
      <c r="B153" s="9">
        <f t="shared" ca="1" si="3"/>
        <v>0</v>
      </c>
    </row>
    <row r="154" spans="1:2" x14ac:dyDescent="0.25">
      <c r="A154" s="9">
        <f t="shared" si="2"/>
        <v>130</v>
      </c>
      <c r="B154" s="9">
        <f t="shared" ca="1" si="3"/>
        <v>1</v>
      </c>
    </row>
    <row r="155" spans="1:2" x14ac:dyDescent="0.25">
      <c r="A155" s="9">
        <f t="shared" ref="A155:A181" si="4">A154+1</f>
        <v>131</v>
      </c>
      <c r="B155" s="9">
        <f t="shared" ref="B155:B181" ca="1" si="5">COUNTIF($D$16:$SJ$16,$A155)</f>
        <v>1</v>
      </c>
    </row>
    <row r="156" spans="1:2" x14ac:dyDescent="0.25">
      <c r="A156" s="9">
        <f t="shared" si="4"/>
        <v>132</v>
      </c>
      <c r="B156" s="9">
        <f t="shared" ca="1" si="5"/>
        <v>2</v>
      </c>
    </row>
    <row r="157" spans="1:2" x14ac:dyDescent="0.25">
      <c r="A157" s="9">
        <f t="shared" si="4"/>
        <v>133</v>
      </c>
      <c r="B157" s="9">
        <f t="shared" ca="1" si="5"/>
        <v>0</v>
      </c>
    </row>
    <row r="158" spans="1:2" x14ac:dyDescent="0.25">
      <c r="A158" s="9">
        <f t="shared" si="4"/>
        <v>134</v>
      </c>
      <c r="B158" s="9">
        <f t="shared" ca="1" si="5"/>
        <v>0</v>
      </c>
    </row>
    <row r="159" spans="1:2" x14ac:dyDescent="0.25">
      <c r="A159" s="9">
        <f t="shared" si="4"/>
        <v>135</v>
      </c>
      <c r="B159" s="9">
        <f t="shared" ca="1" si="5"/>
        <v>0</v>
      </c>
    </row>
    <row r="160" spans="1:2" x14ac:dyDescent="0.25">
      <c r="A160" s="9">
        <f t="shared" si="4"/>
        <v>136</v>
      </c>
      <c r="B160" s="9">
        <f t="shared" ca="1" si="5"/>
        <v>3</v>
      </c>
    </row>
    <row r="161" spans="1:2" x14ac:dyDescent="0.25">
      <c r="A161" s="9">
        <f t="shared" si="4"/>
        <v>137</v>
      </c>
      <c r="B161" s="9">
        <f t="shared" ca="1" si="5"/>
        <v>0</v>
      </c>
    </row>
    <row r="162" spans="1:2" x14ac:dyDescent="0.25">
      <c r="A162" s="9">
        <f t="shared" si="4"/>
        <v>138</v>
      </c>
      <c r="B162" s="9">
        <f t="shared" ca="1" si="5"/>
        <v>1</v>
      </c>
    </row>
    <row r="163" spans="1:2" x14ac:dyDescent="0.25">
      <c r="A163" s="9">
        <f t="shared" si="4"/>
        <v>139</v>
      </c>
      <c r="B163" s="9">
        <f t="shared" ca="1" si="5"/>
        <v>0</v>
      </c>
    </row>
    <row r="164" spans="1:2" x14ac:dyDescent="0.25">
      <c r="A164" s="9">
        <f t="shared" si="4"/>
        <v>140</v>
      </c>
      <c r="B164" s="9">
        <f t="shared" ca="1" si="5"/>
        <v>0</v>
      </c>
    </row>
    <row r="165" spans="1:2" x14ac:dyDescent="0.25">
      <c r="A165" s="9">
        <f t="shared" si="4"/>
        <v>141</v>
      </c>
      <c r="B165" s="9">
        <f t="shared" ca="1" si="5"/>
        <v>1</v>
      </c>
    </row>
    <row r="166" spans="1:2" x14ac:dyDescent="0.25">
      <c r="A166" s="9">
        <f t="shared" si="4"/>
        <v>142</v>
      </c>
      <c r="B166" s="9">
        <f t="shared" ca="1" si="5"/>
        <v>0</v>
      </c>
    </row>
    <row r="167" spans="1:2" x14ac:dyDescent="0.25">
      <c r="A167" s="9">
        <f t="shared" si="4"/>
        <v>143</v>
      </c>
      <c r="B167" s="9">
        <f t="shared" ca="1" si="5"/>
        <v>3</v>
      </c>
    </row>
    <row r="168" spans="1:2" x14ac:dyDescent="0.25">
      <c r="A168" s="9">
        <f t="shared" si="4"/>
        <v>144</v>
      </c>
      <c r="B168" s="9">
        <f t="shared" ca="1" si="5"/>
        <v>0</v>
      </c>
    </row>
    <row r="169" spans="1:2" x14ac:dyDescent="0.25">
      <c r="A169" s="9">
        <f t="shared" si="4"/>
        <v>145</v>
      </c>
      <c r="B169" s="9">
        <f t="shared" ca="1" si="5"/>
        <v>0</v>
      </c>
    </row>
    <row r="170" spans="1:2" x14ac:dyDescent="0.25">
      <c r="A170" s="9">
        <f t="shared" si="4"/>
        <v>146</v>
      </c>
      <c r="B170" s="9">
        <f t="shared" ca="1" si="5"/>
        <v>0</v>
      </c>
    </row>
    <row r="171" spans="1:2" x14ac:dyDescent="0.25">
      <c r="A171" s="9">
        <f t="shared" si="4"/>
        <v>147</v>
      </c>
      <c r="B171" s="9">
        <f t="shared" ca="1" si="5"/>
        <v>0</v>
      </c>
    </row>
    <row r="172" spans="1:2" x14ac:dyDescent="0.25">
      <c r="A172" s="9">
        <f t="shared" si="4"/>
        <v>148</v>
      </c>
      <c r="B172" s="9">
        <f t="shared" ca="1" si="5"/>
        <v>0</v>
      </c>
    </row>
    <row r="173" spans="1:2" x14ac:dyDescent="0.25">
      <c r="A173" s="9">
        <f t="shared" si="4"/>
        <v>149</v>
      </c>
      <c r="B173" s="9">
        <f t="shared" ca="1" si="5"/>
        <v>0</v>
      </c>
    </row>
    <row r="174" spans="1:2" x14ac:dyDescent="0.25">
      <c r="A174" s="9">
        <f t="shared" si="4"/>
        <v>150</v>
      </c>
      <c r="B174" s="9">
        <f t="shared" ca="1" si="5"/>
        <v>0</v>
      </c>
    </row>
    <row r="175" spans="1:2" x14ac:dyDescent="0.25">
      <c r="A175" s="9">
        <f t="shared" si="4"/>
        <v>151</v>
      </c>
      <c r="B175" s="9">
        <f t="shared" ca="1" si="5"/>
        <v>1</v>
      </c>
    </row>
    <row r="176" spans="1:2" x14ac:dyDescent="0.25">
      <c r="A176" s="9">
        <f t="shared" si="4"/>
        <v>152</v>
      </c>
      <c r="B176" s="9">
        <f t="shared" ca="1" si="5"/>
        <v>2</v>
      </c>
    </row>
    <row r="177" spans="1:2" x14ac:dyDescent="0.25">
      <c r="A177" s="9">
        <f t="shared" si="4"/>
        <v>153</v>
      </c>
      <c r="B177" s="9">
        <f t="shared" ca="1" si="5"/>
        <v>0</v>
      </c>
    </row>
    <row r="178" spans="1:2" x14ac:dyDescent="0.25">
      <c r="A178" s="9">
        <f t="shared" si="4"/>
        <v>154</v>
      </c>
      <c r="B178" s="9">
        <f t="shared" ca="1" si="5"/>
        <v>0</v>
      </c>
    </row>
    <row r="179" spans="1:2" x14ac:dyDescent="0.25">
      <c r="A179" s="9">
        <f t="shared" si="4"/>
        <v>155</v>
      </c>
      <c r="B179" s="9">
        <f t="shared" ca="1" si="5"/>
        <v>1</v>
      </c>
    </row>
    <row r="180" spans="1:2" x14ac:dyDescent="0.25">
      <c r="A180" s="9">
        <f t="shared" si="4"/>
        <v>156</v>
      </c>
      <c r="B180" s="9">
        <f t="shared" ca="1" si="5"/>
        <v>0</v>
      </c>
    </row>
    <row r="181" spans="1:2" x14ac:dyDescent="0.25">
      <c r="A181" s="9">
        <f t="shared" si="4"/>
        <v>157</v>
      </c>
      <c r="B181" s="9">
        <f t="shared" ca="1" si="5"/>
        <v>0</v>
      </c>
    </row>
    <row r="182" spans="1:2" x14ac:dyDescent="0.25">
      <c r="A182" s="9">
        <f>A181+1</f>
        <v>158</v>
      </c>
      <c r="B182" s="9">
        <f ca="1">COUNTIF($D$16:$SJ$16,$A182)</f>
        <v>1</v>
      </c>
    </row>
    <row r="183" spans="1:2" x14ac:dyDescent="0.25">
      <c r="A183" s="9">
        <f t="shared" ref="A183:A201" si="6">A182+1</f>
        <v>159</v>
      </c>
      <c r="B183" s="9">
        <f t="shared" ref="B183:B201" ca="1" si="7">COUNTIF($D$16:$SJ$16,$A183)</f>
        <v>1</v>
      </c>
    </row>
    <row r="184" spans="1:2" x14ac:dyDescent="0.25">
      <c r="A184" s="9">
        <f t="shared" si="6"/>
        <v>160</v>
      </c>
      <c r="B184" s="9">
        <f t="shared" ca="1" si="7"/>
        <v>0</v>
      </c>
    </row>
    <row r="185" spans="1:2" x14ac:dyDescent="0.25">
      <c r="A185" s="9">
        <f t="shared" si="6"/>
        <v>161</v>
      </c>
      <c r="B185" s="9">
        <f t="shared" ca="1" si="7"/>
        <v>0</v>
      </c>
    </row>
    <row r="186" spans="1:2" x14ac:dyDescent="0.25">
      <c r="A186" s="9">
        <f t="shared" si="6"/>
        <v>162</v>
      </c>
      <c r="B186" s="9">
        <f t="shared" ca="1" si="7"/>
        <v>0</v>
      </c>
    </row>
    <row r="187" spans="1:2" x14ac:dyDescent="0.25">
      <c r="A187" s="9">
        <f t="shared" si="6"/>
        <v>163</v>
      </c>
      <c r="B187" s="9">
        <f t="shared" ca="1" si="7"/>
        <v>0</v>
      </c>
    </row>
    <row r="188" spans="1:2" x14ac:dyDescent="0.25">
      <c r="A188" s="9">
        <f t="shared" si="6"/>
        <v>164</v>
      </c>
      <c r="B188" s="9">
        <f t="shared" ca="1" si="7"/>
        <v>2</v>
      </c>
    </row>
    <row r="189" spans="1:2" x14ac:dyDescent="0.25">
      <c r="A189" s="9">
        <f t="shared" si="6"/>
        <v>165</v>
      </c>
      <c r="B189" s="9">
        <f t="shared" ca="1" si="7"/>
        <v>0</v>
      </c>
    </row>
    <row r="190" spans="1:2" x14ac:dyDescent="0.25">
      <c r="A190" s="9">
        <f t="shared" si="6"/>
        <v>166</v>
      </c>
      <c r="B190" s="9">
        <f t="shared" ca="1" si="7"/>
        <v>0</v>
      </c>
    </row>
    <row r="191" spans="1:2" x14ac:dyDescent="0.25">
      <c r="A191" s="9">
        <f t="shared" si="6"/>
        <v>167</v>
      </c>
      <c r="B191" s="9">
        <f t="shared" ca="1" si="7"/>
        <v>0</v>
      </c>
    </row>
    <row r="192" spans="1:2" x14ac:dyDescent="0.25">
      <c r="A192" s="9">
        <f t="shared" si="6"/>
        <v>168</v>
      </c>
      <c r="B192" s="9">
        <f t="shared" ca="1" si="7"/>
        <v>0</v>
      </c>
    </row>
    <row r="193" spans="1:2" x14ac:dyDescent="0.25">
      <c r="A193" s="9">
        <f t="shared" si="6"/>
        <v>169</v>
      </c>
      <c r="B193" s="9">
        <f t="shared" ca="1" si="7"/>
        <v>0</v>
      </c>
    </row>
    <row r="194" spans="1:2" x14ac:dyDescent="0.25">
      <c r="A194" s="9">
        <f t="shared" si="6"/>
        <v>170</v>
      </c>
      <c r="B194" s="9">
        <f t="shared" ca="1" si="7"/>
        <v>0</v>
      </c>
    </row>
    <row r="195" spans="1:2" x14ac:dyDescent="0.25">
      <c r="A195" s="9">
        <f t="shared" si="6"/>
        <v>171</v>
      </c>
      <c r="B195" s="9">
        <f t="shared" ca="1" si="7"/>
        <v>2</v>
      </c>
    </row>
    <row r="196" spans="1:2" x14ac:dyDescent="0.25">
      <c r="A196" s="9">
        <f t="shared" si="6"/>
        <v>172</v>
      </c>
      <c r="B196" s="9">
        <f t="shared" ca="1" si="7"/>
        <v>0</v>
      </c>
    </row>
    <row r="197" spans="1:2" x14ac:dyDescent="0.25">
      <c r="A197" s="9">
        <f t="shared" si="6"/>
        <v>173</v>
      </c>
      <c r="B197" s="9">
        <f t="shared" ca="1" si="7"/>
        <v>1</v>
      </c>
    </row>
    <row r="198" spans="1:2" x14ac:dyDescent="0.25">
      <c r="A198" s="9">
        <f t="shared" si="6"/>
        <v>174</v>
      </c>
      <c r="B198" s="9">
        <f t="shared" ca="1" si="7"/>
        <v>0</v>
      </c>
    </row>
    <row r="199" spans="1:2" x14ac:dyDescent="0.25">
      <c r="A199" s="9">
        <f t="shared" si="6"/>
        <v>175</v>
      </c>
      <c r="B199" s="9">
        <f t="shared" ca="1" si="7"/>
        <v>4</v>
      </c>
    </row>
    <row r="200" spans="1:2" x14ac:dyDescent="0.25">
      <c r="A200" s="9">
        <f t="shared" si="6"/>
        <v>176</v>
      </c>
      <c r="B200" s="9">
        <f t="shared" ca="1" si="7"/>
        <v>2</v>
      </c>
    </row>
    <row r="201" spans="1:2" x14ac:dyDescent="0.25">
      <c r="A201" s="9">
        <f t="shared" si="6"/>
        <v>177</v>
      </c>
      <c r="B201" s="9">
        <f t="shared" ca="1" si="7"/>
        <v>2</v>
      </c>
    </row>
    <row r="202" spans="1:2" x14ac:dyDescent="0.25">
      <c r="A202" s="9">
        <f>A201+1</f>
        <v>178</v>
      </c>
      <c r="B202" s="9">
        <f ca="1">COUNTIF($D$16:$SJ$16,$A202)</f>
        <v>2</v>
      </c>
    </row>
    <row r="203" spans="1:2" x14ac:dyDescent="0.25">
      <c r="A203" s="9">
        <f t="shared" ref="A203:A230" si="8">A202+1</f>
        <v>179</v>
      </c>
      <c r="B203" s="9">
        <f t="shared" ref="B203:B230" ca="1" si="9">COUNTIF($D$16:$SJ$16,$A203)</f>
        <v>3</v>
      </c>
    </row>
    <row r="204" spans="1:2" x14ac:dyDescent="0.25">
      <c r="A204" s="9">
        <f t="shared" si="8"/>
        <v>180</v>
      </c>
      <c r="B204" s="9">
        <f t="shared" ca="1" si="9"/>
        <v>0</v>
      </c>
    </row>
    <row r="205" spans="1:2" x14ac:dyDescent="0.25">
      <c r="A205" s="9">
        <f t="shared" si="8"/>
        <v>181</v>
      </c>
      <c r="B205" s="9">
        <f t="shared" ca="1" si="9"/>
        <v>0</v>
      </c>
    </row>
    <row r="206" spans="1:2" x14ac:dyDescent="0.25">
      <c r="A206" s="9">
        <f t="shared" si="8"/>
        <v>182</v>
      </c>
      <c r="B206" s="9">
        <f t="shared" ca="1" si="9"/>
        <v>3</v>
      </c>
    </row>
    <row r="207" spans="1:2" x14ac:dyDescent="0.25">
      <c r="A207" s="9">
        <f t="shared" si="8"/>
        <v>183</v>
      </c>
      <c r="B207" s="9">
        <f t="shared" ca="1" si="9"/>
        <v>0</v>
      </c>
    </row>
    <row r="208" spans="1:2" x14ac:dyDescent="0.25">
      <c r="A208" s="9">
        <f t="shared" si="8"/>
        <v>184</v>
      </c>
      <c r="B208" s="9">
        <f t="shared" ca="1" si="9"/>
        <v>0</v>
      </c>
    </row>
    <row r="209" spans="1:2" x14ac:dyDescent="0.25">
      <c r="A209" s="9">
        <f t="shared" si="8"/>
        <v>185</v>
      </c>
      <c r="B209" s="9">
        <f t="shared" ca="1" si="9"/>
        <v>0</v>
      </c>
    </row>
    <row r="210" spans="1:2" x14ac:dyDescent="0.25">
      <c r="A210" s="9">
        <f t="shared" si="8"/>
        <v>186</v>
      </c>
      <c r="B210" s="9">
        <f t="shared" ca="1" si="9"/>
        <v>0</v>
      </c>
    </row>
    <row r="211" spans="1:2" x14ac:dyDescent="0.25">
      <c r="A211" s="9">
        <f t="shared" si="8"/>
        <v>187</v>
      </c>
      <c r="B211" s="9">
        <f t="shared" ca="1" si="9"/>
        <v>2</v>
      </c>
    </row>
    <row r="212" spans="1:2" x14ac:dyDescent="0.25">
      <c r="A212" s="9">
        <f t="shared" si="8"/>
        <v>188</v>
      </c>
      <c r="B212" s="9">
        <f t="shared" ca="1" si="9"/>
        <v>1</v>
      </c>
    </row>
    <row r="213" spans="1:2" x14ac:dyDescent="0.25">
      <c r="A213" s="9">
        <f t="shared" si="8"/>
        <v>189</v>
      </c>
      <c r="B213" s="9">
        <f t="shared" ca="1" si="9"/>
        <v>1</v>
      </c>
    </row>
    <row r="214" spans="1:2" x14ac:dyDescent="0.25">
      <c r="A214" s="9">
        <f t="shared" si="8"/>
        <v>190</v>
      </c>
      <c r="B214" s="9">
        <f t="shared" ca="1" si="9"/>
        <v>3</v>
      </c>
    </row>
    <row r="215" spans="1:2" x14ac:dyDescent="0.25">
      <c r="A215" s="9">
        <f t="shared" si="8"/>
        <v>191</v>
      </c>
      <c r="B215" s="9">
        <f t="shared" ca="1" si="9"/>
        <v>0</v>
      </c>
    </row>
    <row r="216" spans="1:2" x14ac:dyDescent="0.25">
      <c r="A216" s="9">
        <f t="shared" si="8"/>
        <v>192</v>
      </c>
      <c r="B216" s="9">
        <f t="shared" ca="1" si="9"/>
        <v>1</v>
      </c>
    </row>
    <row r="217" spans="1:2" x14ac:dyDescent="0.25">
      <c r="A217" s="9">
        <f t="shared" si="8"/>
        <v>193</v>
      </c>
      <c r="B217" s="9">
        <f t="shared" ca="1" si="9"/>
        <v>0</v>
      </c>
    </row>
    <row r="218" spans="1:2" x14ac:dyDescent="0.25">
      <c r="A218" s="9">
        <f t="shared" si="8"/>
        <v>194</v>
      </c>
      <c r="B218" s="9">
        <f t="shared" ca="1" si="9"/>
        <v>1</v>
      </c>
    </row>
    <row r="219" spans="1:2" x14ac:dyDescent="0.25">
      <c r="A219" s="9">
        <f t="shared" si="8"/>
        <v>195</v>
      </c>
      <c r="B219" s="9">
        <f t="shared" ca="1" si="9"/>
        <v>0</v>
      </c>
    </row>
    <row r="220" spans="1:2" x14ac:dyDescent="0.25">
      <c r="A220" s="9">
        <f t="shared" si="8"/>
        <v>196</v>
      </c>
      <c r="B220" s="9">
        <f t="shared" ca="1" si="9"/>
        <v>0</v>
      </c>
    </row>
    <row r="221" spans="1:2" x14ac:dyDescent="0.25">
      <c r="A221" s="9">
        <f t="shared" si="8"/>
        <v>197</v>
      </c>
      <c r="B221" s="9">
        <f t="shared" ca="1" si="9"/>
        <v>1</v>
      </c>
    </row>
    <row r="222" spans="1:2" x14ac:dyDescent="0.25">
      <c r="A222" s="9">
        <f t="shared" si="8"/>
        <v>198</v>
      </c>
      <c r="B222" s="9">
        <f t="shared" ca="1" si="9"/>
        <v>1</v>
      </c>
    </row>
    <row r="223" spans="1:2" x14ac:dyDescent="0.25">
      <c r="A223" s="9">
        <f t="shared" si="8"/>
        <v>199</v>
      </c>
      <c r="B223" s="9">
        <f t="shared" ca="1" si="9"/>
        <v>0</v>
      </c>
    </row>
    <row r="224" spans="1:2" x14ac:dyDescent="0.25">
      <c r="A224" s="9">
        <f t="shared" si="8"/>
        <v>200</v>
      </c>
      <c r="B224" s="9">
        <f t="shared" ca="1" si="9"/>
        <v>1</v>
      </c>
    </row>
    <row r="225" spans="1:2" x14ac:dyDescent="0.25">
      <c r="A225" s="9">
        <f t="shared" si="8"/>
        <v>201</v>
      </c>
      <c r="B225" s="9">
        <f t="shared" ca="1" si="9"/>
        <v>0</v>
      </c>
    </row>
    <row r="226" spans="1:2" x14ac:dyDescent="0.25">
      <c r="A226" s="9">
        <f t="shared" si="8"/>
        <v>202</v>
      </c>
      <c r="B226" s="9">
        <f t="shared" ca="1" si="9"/>
        <v>0</v>
      </c>
    </row>
    <row r="227" spans="1:2" x14ac:dyDescent="0.25">
      <c r="A227" s="9">
        <f t="shared" si="8"/>
        <v>203</v>
      </c>
      <c r="B227" s="9">
        <f t="shared" ca="1" si="9"/>
        <v>0</v>
      </c>
    </row>
    <row r="228" spans="1:2" x14ac:dyDescent="0.25">
      <c r="A228" s="9">
        <f t="shared" si="8"/>
        <v>204</v>
      </c>
      <c r="B228" s="9">
        <f t="shared" ca="1" si="9"/>
        <v>4</v>
      </c>
    </row>
    <row r="229" spans="1:2" x14ac:dyDescent="0.25">
      <c r="A229" s="9">
        <f t="shared" si="8"/>
        <v>205</v>
      </c>
      <c r="B229" s="9">
        <f t="shared" ca="1" si="9"/>
        <v>2</v>
      </c>
    </row>
    <row r="230" spans="1:2" x14ac:dyDescent="0.25">
      <c r="A230" s="9">
        <f t="shared" si="8"/>
        <v>206</v>
      </c>
      <c r="B230" s="9">
        <f t="shared" ca="1" si="9"/>
        <v>3</v>
      </c>
    </row>
    <row r="231" spans="1:2" x14ac:dyDescent="0.25">
      <c r="A231" s="9">
        <f>A230+1</f>
        <v>207</v>
      </c>
      <c r="B231" s="9">
        <f ca="1">COUNTIF($D$16:$SJ$16,$A231)</f>
        <v>0</v>
      </c>
    </row>
    <row r="232" spans="1:2" x14ac:dyDescent="0.25">
      <c r="A232" s="9">
        <f t="shared" ref="A232:A243" si="10">A231+1</f>
        <v>208</v>
      </c>
      <c r="B232" s="9">
        <f t="shared" ref="B232:B243" ca="1" si="11">COUNTIF($D$16:$SJ$16,$A232)</f>
        <v>3</v>
      </c>
    </row>
    <row r="233" spans="1:2" x14ac:dyDescent="0.25">
      <c r="A233" s="9">
        <f t="shared" si="10"/>
        <v>209</v>
      </c>
      <c r="B233" s="9">
        <f t="shared" ca="1" si="11"/>
        <v>0</v>
      </c>
    </row>
    <row r="234" spans="1:2" x14ac:dyDescent="0.25">
      <c r="A234" s="9">
        <f t="shared" si="10"/>
        <v>210</v>
      </c>
      <c r="B234" s="9">
        <f t="shared" ca="1" si="11"/>
        <v>1</v>
      </c>
    </row>
    <row r="235" spans="1:2" x14ac:dyDescent="0.25">
      <c r="A235" s="9">
        <f t="shared" si="10"/>
        <v>211</v>
      </c>
      <c r="B235" s="9">
        <f t="shared" ca="1" si="11"/>
        <v>0</v>
      </c>
    </row>
    <row r="236" spans="1:2" x14ac:dyDescent="0.25">
      <c r="A236" s="9">
        <f t="shared" si="10"/>
        <v>212</v>
      </c>
      <c r="B236" s="9">
        <f t="shared" ca="1" si="11"/>
        <v>4</v>
      </c>
    </row>
    <row r="237" spans="1:2" x14ac:dyDescent="0.25">
      <c r="A237" s="9">
        <f t="shared" si="10"/>
        <v>213</v>
      </c>
      <c r="B237" s="9">
        <f t="shared" ca="1" si="11"/>
        <v>2</v>
      </c>
    </row>
    <row r="238" spans="1:2" x14ac:dyDescent="0.25">
      <c r="A238" s="9">
        <f t="shared" si="10"/>
        <v>214</v>
      </c>
      <c r="B238" s="9">
        <f t="shared" ca="1" si="11"/>
        <v>0</v>
      </c>
    </row>
    <row r="239" spans="1:2" x14ac:dyDescent="0.25">
      <c r="A239" s="9">
        <f t="shared" si="10"/>
        <v>215</v>
      </c>
      <c r="B239" s="9">
        <f t="shared" ca="1" si="11"/>
        <v>2</v>
      </c>
    </row>
    <row r="240" spans="1:2" x14ac:dyDescent="0.25">
      <c r="A240" s="9">
        <f t="shared" si="10"/>
        <v>216</v>
      </c>
      <c r="B240" s="9">
        <f t="shared" ca="1" si="11"/>
        <v>1</v>
      </c>
    </row>
    <row r="241" spans="1:2" x14ac:dyDescent="0.25">
      <c r="A241" s="9">
        <f t="shared" si="10"/>
        <v>217</v>
      </c>
      <c r="B241" s="9">
        <f t="shared" ca="1" si="11"/>
        <v>0</v>
      </c>
    </row>
    <row r="242" spans="1:2" x14ac:dyDescent="0.25">
      <c r="A242" s="9">
        <f t="shared" si="10"/>
        <v>218</v>
      </c>
      <c r="B242" s="9">
        <f t="shared" ca="1" si="11"/>
        <v>3</v>
      </c>
    </row>
    <row r="243" spans="1:2" x14ac:dyDescent="0.25">
      <c r="A243" s="9">
        <f t="shared" si="10"/>
        <v>219</v>
      </c>
      <c r="B243" s="9">
        <f t="shared" ca="1" si="11"/>
        <v>1</v>
      </c>
    </row>
    <row r="244" spans="1:2" x14ac:dyDescent="0.25">
      <c r="A244" s="9">
        <f>A243+1</f>
        <v>220</v>
      </c>
      <c r="B244" s="9">
        <f ca="1">COUNTIF($D$16:$SJ$16,$A244)</f>
        <v>1</v>
      </c>
    </row>
    <row r="245" spans="1:2" x14ac:dyDescent="0.25">
      <c r="A245" s="9">
        <f t="shared" ref="A245:A258" si="12">A244+1</f>
        <v>221</v>
      </c>
      <c r="B245" s="9">
        <f t="shared" ref="B245:B258" ca="1" si="13">COUNTIF($D$16:$SJ$16,$A245)</f>
        <v>1</v>
      </c>
    </row>
    <row r="246" spans="1:2" x14ac:dyDescent="0.25">
      <c r="A246" s="9">
        <f t="shared" si="12"/>
        <v>222</v>
      </c>
      <c r="B246" s="9">
        <f t="shared" ca="1" si="13"/>
        <v>0</v>
      </c>
    </row>
    <row r="247" spans="1:2" x14ac:dyDescent="0.25">
      <c r="A247" s="9">
        <f t="shared" si="12"/>
        <v>223</v>
      </c>
      <c r="B247" s="9">
        <f t="shared" ca="1" si="13"/>
        <v>16</v>
      </c>
    </row>
    <row r="248" spans="1:2" x14ac:dyDescent="0.25">
      <c r="A248" s="9">
        <f t="shared" si="12"/>
        <v>224</v>
      </c>
      <c r="B248" s="9">
        <f t="shared" ca="1" si="13"/>
        <v>0</v>
      </c>
    </row>
    <row r="249" spans="1:2" x14ac:dyDescent="0.25">
      <c r="A249" s="9">
        <f t="shared" si="12"/>
        <v>225</v>
      </c>
      <c r="B249" s="9">
        <f t="shared" ca="1" si="13"/>
        <v>8</v>
      </c>
    </row>
    <row r="250" spans="1:2" x14ac:dyDescent="0.25">
      <c r="A250" s="9">
        <f t="shared" si="12"/>
        <v>226</v>
      </c>
      <c r="B250" s="9">
        <f t="shared" ca="1" si="13"/>
        <v>0</v>
      </c>
    </row>
    <row r="251" spans="1:2" x14ac:dyDescent="0.25">
      <c r="A251" s="9">
        <f t="shared" si="12"/>
        <v>227</v>
      </c>
      <c r="B251" s="9">
        <f t="shared" ca="1" si="13"/>
        <v>1</v>
      </c>
    </row>
    <row r="252" spans="1:2" x14ac:dyDescent="0.25">
      <c r="A252" s="9">
        <f t="shared" si="12"/>
        <v>228</v>
      </c>
      <c r="B252" s="9">
        <f t="shared" ca="1" si="13"/>
        <v>0</v>
      </c>
    </row>
    <row r="253" spans="1:2" x14ac:dyDescent="0.25">
      <c r="A253" s="9">
        <f t="shared" si="12"/>
        <v>229</v>
      </c>
      <c r="B253" s="9">
        <f t="shared" ca="1" si="13"/>
        <v>3</v>
      </c>
    </row>
    <row r="254" spans="1:2" x14ac:dyDescent="0.25">
      <c r="A254" s="9">
        <f t="shared" si="12"/>
        <v>230</v>
      </c>
      <c r="B254" s="9">
        <f t="shared" ca="1" si="13"/>
        <v>5</v>
      </c>
    </row>
    <row r="255" spans="1:2" x14ac:dyDescent="0.25">
      <c r="A255" s="9">
        <f t="shared" si="12"/>
        <v>231</v>
      </c>
      <c r="B255" s="9">
        <f t="shared" ca="1" si="13"/>
        <v>0</v>
      </c>
    </row>
    <row r="256" spans="1:2" x14ac:dyDescent="0.25">
      <c r="A256" s="9">
        <f t="shared" si="12"/>
        <v>232</v>
      </c>
      <c r="B256" s="9">
        <f t="shared" ca="1" si="13"/>
        <v>0</v>
      </c>
    </row>
    <row r="257" spans="1:2" x14ac:dyDescent="0.25">
      <c r="A257" s="9">
        <f t="shared" si="12"/>
        <v>233</v>
      </c>
      <c r="B257" s="9">
        <f t="shared" ca="1" si="13"/>
        <v>2</v>
      </c>
    </row>
    <row r="258" spans="1:2" x14ac:dyDescent="0.25">
      <c r="A258" s="9">
        <f t="shared" si="12"/>
        <v>234</v>
      </c>
      <c r="B258" s="9">
        <f t="shared" ca="1" si="13"/>
        <v>0</v>
      </c>
    </row>
    <row r="259" spans="1:2" x14ac:dyDescent="0.25">
      <c r="A259" s="9">
        <f>A258+1</f>
        <v>235</v>
      </c>
      <c r="B259" s="9">
        <f ca="1">COUNTIF($D$16:$SJ$16,$A259)</f>
        <v>5</v>
      </c>
    </row>
    <row r="260" spans="1:2" x14ac:dyDescent="0.25">
      <c r="A260" s="9">
        <f t="shared" ref="A260:A271" si="14">A259+1</f>
        <v>236</v>
      </c>
      <c r="B260" s="9">
        <f t="shared" ref="B260:B271" ca="1" si="15">COUNTIF($D$16:$SJ$16,$A260)</f>
        <v>0</v>
      </c>
    </row>
    <row r="261" spans="1:2" x14ac:dyDescent="0.25">
      <c r="A261" s="9">
        <f t="shared" si="14"/>
        <v>237</v>
      </c>
      <c r="B261" s="9">
        <f t="shared" ca="1" si="15"/>
        <v>4</v>
      </c>
    </row>
    <row r="262" spans="1:2" x14ac:dyDescent="0.25">
      <c r="A262" s="9">
        <f t="shared" si="14"/>
        <v>238</v>
      </c>
      <c r="B262" s="9">
        <f t="shared" ca="1" si="15"/>
        <v>3</v>
      </c>
    </row>
    <row r="263" spans="1:2" x14ac:dyDescent="0.25">
      <c r="A263" s="9">
        <f t="shared" si="14"/>
        <v>239</v>
      </c>
      <c r="B263" s="9">
        <f t="shared" ca="1" si="15"/>
        <v>3</v>
      </c>
    </row>
    <row r="264" spans="1:2" x14ac:dyDescent="0.25">
      <c r="A264" s="9">
        <f t="shared" si="14"/>
        <v>240</v>
      </c>
      <c r="B264" s="9">
        <f t="shared" ca="1" si="15"/>
        <v>13</v>
      </c>
    </row>
    <row r="265" spans="1:2" x14ac:dyDescent="0.25">
      <c r="A265" s="9">
        <f t="shared" si="14"/>
        <v>241</v>
      </c>
      <c r="B265" s="9">
        <f t="shared" ca="1" si="15"/>
        <v>0</v>
      </c>
    </row>
    <row r="266" spans="1:2" x14ac:dyDescent="0.25">
      <c r="A266" s="9">
        <f t="shared" si="14"/>
        <v>242</v>
      </c>
      <c r="B266" s="9">
        <f t="shared" ca="1" si="15"/>
        <v>13</v>
      </c>
    </row>
    <row r="267" spans="1:2" x14ac:dyDescent="0.25">
      <c r="A267" s="9">
        <f t="shared" si="14"/>
        <v>243</v>
      </c>
      <c r="B267" s="9">
        <f t="shared" ca="1" si="15"/>
        <v>2</v>
      </c>
    </row>
    <row r="268" spans="1:2" x14ac:dyDescent="0.25">
      <c r="A268" s="9">
        <f t="shared" si="14"/>
        <v>244</v>
      </c>
      <c r="B268" s="9">
        <f t="shared" ca="1" si="15"/>
        <v>4</v>
      </c>
    </row>
    <row r="269" spans="1:2" x14ac:dyDescent="0.25">
      <c r="A269" s="9">
        <f t="shared" si="14"/>
        <v>245</v>
      </c>
      <c r="B269" s="9">
        <f t="shared" ca="1" si="15"/>
        <v>0</v>
      </c>
    </row>
    <row r="270" spans="1:2" x14ac:dyDescent="0.25">
      <c r="A270" s="9">
        <f t="shared" si="14"/>
        <v>246</v>
      </c>
      <c r="B270" s="9">
        <f t="shared" ca="1" si="15"/>
        <v>1</v>
      </c>
    </row>
    <row r="271" spans="1:2" x14ac:dyDescent="0.25">
      <c r="A271" s="9">
        <f t="shared" si="14"/>
        <v>247</v>
      </c>
      <c r="B271" s="9">
        <f t="shared" ca="1" si="15"/>
        <v>0</v>
      </c>
    </row>
    <row r="272" spans="1:2" x14ac:dyDescent="0.25">
      <c r="A272" s="9">
        <f>A271+1</f>
        <v>248</v>
      </c>
      <c r="B272" s="9">
        <f ca="1">COUNTIF($D$16:$SJ$16,$A272)</f>
        <v>12</v>
      </c>
    </row>
    <row r="273" spans="1:2" x14ac:dyDescent="0.25">
      <c r="A273" s="9">
        <f>A272+1</f>
        <v>249</v>
      </c>
      <c r="B273" s="9">
        <f ca="1">COUNTIF($D$16:$SJ$16,$A273)</f>
        <v>2</v>
      </c>
    </row>
    <row r="274" spans="1:2" x14ac:dyDescent="0.25">
      <c r="A274" s="9">
        <f>A273+1</f>
        <v>250</v>
      </c>
      <c r="B274" s="9">
        <f ca="1">COUNTIF($D$16:$SJ$16,$A274)</f>
        <v>2</v>
      </c>
    </row>
    <row r="275" spans="1:2" x14ac:dyDescent="0.25">
      <c r="A275" s="9">
        <f>A274+1</f>
        <v>251</v>
      </c>
      <c r="B275" s="9">
        <f ca="1">COUNTIF($D$16:$SJ$16,$A275)</f>
        <v>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EE1FA-CEDC-4C21-8F6C-10653C6063E9}">
  <sheetPr codeName="Blad6"/>
  <dimension ref="A1:L274"/>
  <sheetViews>
    <sheetView tabSelected="1" zoomScaleNormal="100" workbookViewId="0">
      <pane xSplit="1" ySplit="2" topLeftCell="B3" activePane="bottomRight" state="frozen"/>
      <selection activeCell="F27" sqref="F27"/>
      <selection pane="topRight" activeCell="F27" sqref="F27"/>
      <selection pane="bottomLeft" activeCell="F27" sqref="F27"/>
      <selection pane="bottomRight" activeCell="A13" sqref="A13"/>
    </sheetView>
  </sheetViews>
  <sheetFormatPr defaultRowHeight="13.2" x14ac:dyDescent="0.25"/>
  <cols>
    <col min="1" max="1" width="6.5546875" style="1" bestFit="1" customWidth="1"/>
    <col min="2" max="2" width="41.21875" customWidth="1"/>
    <col min="3" max="3" width="7.44140625" bestFit="1" customWidth="1"/>
    <col min="4" max="4" width="4.77734375" customWidth="1"/>
    <col min="5" max="5" width="6.77734375" style="1" customWidth="1"/>
    <col min="6" max="6" width="42" customWidth="1"/>
    <col min="7" max="7" width="7.44140625" bestFit="1" customWidth="1"/>
    <col min="8" max="8" width="5.44140625" customWidth="1"/>
    <col min="9" max="9" width="6.77734375" customWidth="1"/>
    <col min="10" max="10" width="22.44140625" customWidth="1"/>
    <col min="11" max="11" width="5.77734375" bestFit="1" customWidth="1"/>
    <col min="12" max="12" width="7.44140625" bestFit="1" customWidth="1"/>
  </cols>
  <sheetData>
    <row r="1" spans="1:12" x14ac:dyDescent="0.25">
      <c r="B1" s="6" t="s">
        <v>5</v>
      </c>
      <c r="F1" s="6" t="s">
        <v>6</v>
      </c>
      <c r="G1">
        <v>11</v>
      </c>
      <c r="I1" s="4" t="s">
        <v>7</v>
      </c>
    </row>
    <row r="2" spans="1:12" x14ac:dyDescent="0.25">
      <c r="A2" s="2" t="s">
        <v>2</v>
      </c>
      <c r="B2" s="3" t="s">
        <v>3</v>
      </c>
      <c r="C2" s="5" t="s">
        <v>4</v>
      </c>
      <c r="E2" s="2" t="s">
        <v>2</v>
      </c>
      <c r="F2" s="3" t="s">
        <v>3</v>
      </c>
      <c r="G2" s="5" t="s">
        <v>10</v>
      </c>
      <c r="H2" s="5"/>
      <c r="I2" s="2" t="s">
        <v>2</v>
      </c>
      <c r="J2" s="2" t="s">
        <v>251</v>
      </c>
      <c r="K2" s="2" t="s">
        <v>8</v>
      </c>
      <c r="L2" s="5" t="s">
        <v>4</v>
      </c>
    </row>
    <row r="3" spans="1:12" x14ac:dyDescent="0.25">
      <c r="A3" s="1">
        <v>1</v>
      </c>
      <c r="B3" s="1" t="s">
        <v>534</v>
      </c>
      <c r="C3" s="7">
        <v>3897.2999999999997</v>
      </c>
      <c r="E3" s="1">
        <v>1</v>
      </c>
      <c r="F3" s="1" t="s">
        <v>639</v>
      </c>
      <c r="G3" s="7">
        <v>1151.6442845051306</v>
      </c>
      <c r="I3" s="1">
        <v>1</v>
      </c>
      <c r="J3" t="s">
        <v>491</v>
      </c>
      <c r="K3">
        <v>25</v>
      </c>
      <c r="L3" s="7">
        <v>229</v>
      </c>
    </row>
    <row r="4" spans="1:12" x14ac:dyDescent="0.25">
      <c r="A4" s="1">
        <v>2</v>
      </c>
      <c r="B4" s="1" t="s">
        <v>639</v>
      </c>
      <c r="C4" s="7">
        <v>3853.6418011106839</v>
      </c>
      <c r="E4" s="1">
        <v>2</v>
      </c>
      <c r="F4" s="1" t="s">
        <v>595</v>
      </c>
      <c r="G4" s="7">
        <v>1055.6442845051306</v>
      </c>
      <c r="I4" s="1">
        <v>2</v>
      </c>
      <c r="J4" t="s">
        <v>488</v>
      </c>
      <c r="K4">
        <v>73</v>
      </c>
      <c r="L4" s="7">
        <v>162.9</v>
      </c>
    </row>
    <row r="5" spans="1:12" x14ac:dyDescent="0.25">
      <c r="A5" s="1">
        <v>3</v>
      </c>
      <c r="B5" s="1" t="s">
        <v>206</v>
      </c>
      <c r="C5" s="7">
        <v>3811.1000000000004</v>
      </c>
      <c r="E5" s="1">
        <v>3</v>
      </c>
      <c r="F5" s="1" t="s">
        <v>543</v>
      </c>
      <c r="G5" s="7">
        <v>921.9</v>
      </c>
      <c r="I5" s="1">
        <v>3</v>
      </c>
      <c r="J5" t="s">
        <v>489</v>
      </c>
      <c r="K5">
        <v>119</v>
      </c>
      <c r="L5" s="7">
        <v>108</v>
      </c>
    </row>
    <row r="6" spans="1:12" x14ac:dyDescent="0.25">
      <c r="A6" s="1">
        <v>4</v>
      </c>
      <c r="B6" s="1" t="s">
        <v>155</v>
      </c>
      <c r="C6" s="7">
        <v>3684.7641212255235</v>
      </c>
      <c r="E6" s="1">
        <v>4</v>
      </c>
      <c r="F6" s="1" t="s">
        <v>478</v>
      </c>
      <c r="G6" s="7">
        <v>901.44273432315379</v>
      </c>
      <c r="I6" s="1">
        <v>4</v>
      </c>
      <c r="J6" t="s">
        <v>493</v>
      </c>
      <c r="K6">
        <v>33</v>
      </c>
      <c r="L6" s="7">
        <v>154.69999999999999</v>
      </c>
    </row>
    <row r="7" spans="1:12" x14ac:dyDescent="0.25">
      <c r="A7" s="1">
        <v>5</v>
      </c>
      <c r="B7" s="1" t="s">
        <v>535</v>
      </c>
      <c r="C7" s="7">
        <v>3665.7</v>
      </c>
      <c r="E7" s="1">
        <v>5</v>
      </c>
      <c r="F7" s="1" t="s">
        <v>11</v>
      </c>
      <c r="G7" s="7">
        <v>878.249251294023</v>
      </c>
      <c r="I7" s="1">
        <v>5</v>
      </c>
      <c r="J7" t="s">
        <v>544</v>
      </c>
      <c r="K7">
        <v>1</v>
      </c>
      <c r="L7" s="7">
        <v>759</v>
      </c>
    </row>
    <row r="8" spans="1:12" x14ac:dyDescent="0.25">
      <c r="A8" s="1">
        <v>6</v>
      </c>
      <c r="B8" s="1" t="s">
        <v>115</v>
      </c>
      <c r="C8" s="7">
        <v>3650.4</v>
      </c>
      <c r="E8" s="1">
        <v>6</v>
      </c>
      <c r="F8" s="1" t="s">
        <v>614</v>
      </c>
      <c r="G8" s="7">
        <v>782.74770111204623</v>
      </c>
      <c r="I8" s="1">
        <v>6</v>
      </c>
      <c r="J8" t="s">
        <v>492</v>
      </c>
      <c r="K8">
        <v>62</v>
      </c>
      <c r="L8" s="7">
        <v>96</v>
      </c>
    </row>
    <row r="9" spans="1:12" x14ac:dyDescent="0.25">
      <c r="A9" s="1">
        <v>7</v>
      </c>
      <c r="B9" s="1" t="s">
        <v>573</v>
      </c>
      <c r="C9" s="7">
        <v>3637</v>
      </c>
      <c r="E9" s="1">
        <v>7</v>
      </c>
      <c r="F9" s="1" t="s">
        <v>546</v>
      </c>
      <c r="G9" s="7">
        <v>782.74770111204623</v>
      </c>
      <c r="I9" s="1">
        <v>7</v>
      </c>
      <c r="J9" t="s">
        <v>523</v>
      </c>
      <c r="K9">
        <v>10</v>
      </c>
      <c r="L9" s="7">
        <v>273.39503321110749</v>
      </c>
    </row>
    <row r="10" spans="1:12" x14ac:dyDescent="0.25">
      <c r="A10" s="1">
        <v>8</v>
      </c>
      <c r="B10" s="1" t="s">
        <v>254</v>
      </c>
      <c r="C10" s="7">
        <v>3620.0625405509004</v>
      </c>
      <c r="E10" s="1">
        <v>8</v>
      </c>
      <c r="F10" s="1" t="s">
        <v>254</v>
      </c>
      <c r="G10" s="7">
        <v>750.59999999999991</v>
      </c>
      <c r="I10" s="1">
        <v>8</v>
      </c>
      <c r="J10" t="s">
        <v>502</v>
      </c>
      <c r="K10">
        <v>2</v>
      </c>
      <c r="L10" s="7">
        <v>354.4320606127618</v>
      </c>
    </row>
    <row r="11" spans="1:12" x14ac:dyDescent="0.25">
      <c r="A11" s="1">
        <v>9</v>
      </c>
      <c r="B11" s="1" t="s">
        <v>238</v>
      </c>
      <c r="C11" s="7">
        <v>3619.7</v>
      </c>
      <c r="E11" s="1">
        <v>9</v>
      </c>
      <c r="F11" s="1" t="s">
        <v>628</v>
      </c>
      <c r="G11" s="7">
        <v>750.59999999999991</v>
      </c>
      <c r="I11" s="1">
        <v>9</v>
      </c>
      <c r="J11" t="s">
        <v>556</v>
      </c>
      <c r="K11">
        <v>11</v>
      </c>
      <c r="L11" s="7">
        <v>127.64925129402306</v>
      </c>
    </row>
    <row r="12" spans="1:12" x14ac:dyDescent="0.25">
      <c r="A12" s="1">
        <v>10</v>
      </c>
      <c r="B12" s="1" t="s">
        <v>239</v>
      </c>
      <c r="C12" s="7">
        <v>3608.5</v>
      </c>
      <c r="E12" s="1">
        <v>10</v>
      </c>
      <c r="F12" s="1" t="s">
        <v>477</v>
      </c>
      <c r="G12" s="7">
        <v>750.59999999999991</v>
      </c>
      <c r="I12" s="1">
        <v>10</v>
      </c>
      <c r="J12" t="s">
        <v>498</v>
      </c>
      <c r="K12">
        <v>21</v>
      </c>
      <c r="L12" s="7">
        <v>32.147701112046306</v>
      </c>
    </row>
    <row r="13" spans="1:12" x14ac:dyDescent="0.25">
      <c r="A13" s="1">
        <v>11</v>
      </c>
      <c r="B13" s="1" t="s">
        <v>559</v>
      </c>
      <c r="C13" s="7">
        <v>3561.2819501456329</v>
      </c>
      <c r="E13" s="1">
        <v>11</v>
      </c>
      <c r="F13" s="1" t="s">
        <v>490</v>
      </c>
      <c r="G13" s="7">
        <v>750.59999999999991</v>
      </c>
      <c r="L13" s="8">
        <v>2297.2240462299387</v>
      </c>
    </row>
    <row r="14" spans="1:12" x14ac:dyDescent="0.25">
      <c r="A14" s="1">
        <v>12</v>
      </c>
      <c r="B14" s="1" t="s">
        <v>159</v>
      </c>
      <c r="C14" s="7">
        <v>3560.9</v>
      </c>
      <c r="E14" s="1">
        <v>12</v>
      </c>
      <c r="F14" s="1" t="s">
        <v>419</v>
      </c>
      <c r="G14" s="7">
        <v>719.14273432315383</v>
      </c>
    </row>
    <row r="15" spans="1:12" x14ac:dyDescent="0.25">
      <c r="A15" s="1">
        <v>13</v>
      </c>
      <c r="B15" s="1" t="s">
        <v>269</v>
      </c>
      <c r="C15" s="7">
        <v>3527.6032566397203</v>
      </c>
      <c r="E15" s="1">
        <v>13</v>
      </c>
      <c r="F15" s="1" t="s">
        <v>486</v>
      </c>
      <c r="G15" s="7">
        <v>674.74770111204623</v>
      </c>
      <c r="I15" s="4"/>
    </row>
    <row r="16" spans="1:12" x14ac:dyDescent="0.25">
      <c r="A16" s="1">
        <v>14</v>
      </c>
      <c r="B16" s="1" t="s">
        <v>628</v>
      </c>
      <c r="C16" s="7">
        <v>3447.8999999999996</v>
      </c>
      <c r="E16" s="1">
        <v>14</v>
      </c>
      <c r="F16" s="1" t="s">
        <v>605</v>
      </c>
      <c r="G16" s="7">
        <v>654.59999999999991</v>
      </c>
    </row>
    <row r="17" spans="1:9" x14ac:dyDescent="0.25">
      <c r="A17" s="1">
        <v>15</v>
      </c>
      <c r="B17" s="1" t="s">
        <v>207</v>
      </c>
      <c r="C17" s="7">
        <v>3420.5</v>
      </c>
      <c r="E17" s="1">
        <v>15</v>
      </c>
      <c r="F17" s="1" t="s">
        <v>222</v>
      </c>
      <c r="G17" s="7">
        <v>642.59999999999991</v>
      </c>
    </row>
    <row r="18" spans="1:9" x14ac:dyDescent="0.25">
      <c r="A18" s="1">
        <v>16</v>
      </c>
      <c r="B18" s="1" t="s">
        <v>551</v>
      </c>
      <c r="C18" s="7">
        <v>3417.5588147428966</v>
      </c>
      <c r="E18" s="1">
        <v>16</v>
      </c>
      <c r="F18" s="1" t="s">
        <v>638</v>
      </c>
      <c r="G18" s="7">
        <v>637.1919856171769</v>
      </c>
      <c r="I18" s="4"/>
    </row>
    <row r="19" spans="1:9" x14ac:dyDescent="0.25">
      <c r="A19" s="1">
        <v>17</v>
      </c>
      <c r="B19" s="1" t="s">
        <v>607</v>
      </c>
      <c r="C19" s="7">
        <v>3405.7010461111322</v>
      </c>
      <c r="E19" s="1">
        <v>17</v>
      </c>
      <c r="F19" s="1" t="s">
        <v>607</v>
      </c>
      <c r="G19" s="7">
        <v>628.0477011120463</v>
      </c>
    </row>
    <row r="20" spans="1:9" x14ac:dyDescent="0.25">
      <c r="A20" s="1">
        <v>18</v>
      </c>
      <c r="B20" s="1" t="s">
        <v>358</v>
      </c>
      <c r="C20" s="7">
        <v>3392.7000000000007</v>
      </c>
      <c r="E20" s="1">
        <v>18</v>
      </c>
      <c r="F20" s="1" t="s">
        <v>214</v>
      </c>
      <c r="G20" s="7">
        <v>595.9</v>
      </c>
    </row>
    <row r="21" spans="1:9" x14ac:dyDescent="0.25">
      <c r="A21" s="1">
        <v>19</v>
      </c>
      <c r="B21" s="1" t="s">
        <v>582</v>
      </c>
      <c r="C21" s="7">
        <v>3369.1</v>
      </c>
      <c r="E21" s="1">
        <v>19</v>
      </c>
      <c r="F21" s="1" t="s">
        <v>501</v>
      </c>
      <c r="G21" s="7">
        <v>583.4320606127618</v>
      </c>
    </row>
    <row r="22" spans="1:9" x14ac:dyDescent="0.25">
      <c r="A22" s="1">
        <v>20</v>
      </c>
      <c r="B22" s="1" t="s">
        <v>589</v>
      </c>
      <c r="C22" s="7">
        <v>3366.9999999999995</v>
      </c>
      <c r="E22" s="1">
        <v>20</v>
      </c>
      <c r="F22" s="1" t="s">
        <v>111</v>
      </c>
      <c r="G22" s="7">
        <v>521.6</v>
      </c>
    </row>
    <row r="23" spans="1:9" x14ac:dyDescent="0.25">
      <c r="A23" s="1">
        <v>21</v>
      </c>
      <c r="B23" s="1" t="s">
        <v>520</v>
      </c>
      <c r="C23" s="7">
        <v>3352.0000000000005</v>
      </c>
      <c r="E23" s="1">
        <v>21</v>
      </c>
      <c r="F23" s="1" t="s">
        <v>622</v>
      </c>
      <c r="G23" s="7">
        <v>521.59999999999991</v>
      </c>
    </row>
    <row r="24" spans="1:9" x14ac:dyDescent="0.25">
      <c r="A24" s="1">
        <v>22</v>
      </c>
      <c r="B24" s="1" t="s">
        <v>601</v>
      </c>
      <c r="C24" s="7">
        <v>3339.0000000000005</v>
      </c>
      <c r="E24" s="1">
        <v>22</v>
      </c>
      <c r="F24" s="1" t="s">
        <v>269</v>
      </c>
      <c r="G24" s="7">
        <v>487.9</v>
      </c>
    </row>
    <row r="25" spans="1:9" x14ac:dyDescent="0.25">
      <c r="A25" s="1">
        <v>23</v>
      </c>
      <c r="B25" s="1" t="s">
        <v>588</v>
      </c>
      <c r="C25" s="7">
        <v>3334.4</v>
      </c>
      <c r="E25" s="1">
        <v>23</v>
      </c>
      <c r="F25" s="1" t="s">
        <v>468</v>
      </c>
      <c r="G25" s="7">
        <v>436.29503321110747</v>
      </c>
    </row>
    <row r="26" spans="1:9" x14ac:dyDescent="0.25">
      <c r="A26" s="1">
        <v>24</v>
      </c>
      <c r="B26" s="1" t="s">
        <v>205</v>
      </c>
      <c r="C26" s="7">
        <v>3330.9417824486268</v>
      </c>
      <c r="E26" s="1">
        <v>24</v>
      </c>
      <c r="F26" s="1" t="s">
        <v>358</v>
      </c>
      <c r="G26" s="7">
        <v>413.6</v>
      </c>
    </row>
    <row r="27" spans="1:9" x14ac:dyDescent="0.25">
      <c r="A27" s="1">
        <v>25</v>
      </c>
      <c r="B27" s="1" t="s">
        <v>500</v>
      </c>
      <c r="C27" s="7">
        <v>3315.8</v>
      </c>
      <c r="E27" s="1">
        <v>25</v>
      </c>
      <c r="F27" s="1" t="s">
        <v>530</v>
      </c>
      <c r="G27" s="7">
        <v>399.0477011120463</v>
      </c>
    </row>
    <row r="28" spans="1:9" x14ac:dyDescent="0.25">
      <c r="A28" s="1">
        <v>26</v>
      </c>
      <c r="B28" s="1" t="s">
        <v>524</v>
      </c>
      <c r="C28" s="7">
        <v>3311.8999999999996</v>
      </c>
      <c r="E28" s="1">
        <v>26</v>
      </c>
      <c r="F28" s="1" t="s">
        <v>253</v>
      </c>
      <c r="G28" s="7">
        <v>399.0477011120463</v>
      </c>
    </row>
    <row r="29" spans="1:9" x14ac:dyDescent="0.25">
      <c r="A29" s="1">
        <v>27</v>
      </c>
      <c r="B29" s="1" t="s">
        <v>594</v>
      </c>
      <c r="C29" s="7">
        <v>3306.8999999999996</v>
      </c>
      <c r="E29" s="1">
        <v>27</v>
      </c>
      <c r="F29" s="1" t="s">
        <v>525</v>
      </c>
      <c r="G29" s="7">
        <v>391.9</v>
      </c>
    </row>
    <row r="30" spans="1:9" x14ac:dyDescent="0.25">
      <c r="A30" s="1">
        <v>28</v>
      </c>
      <c r="B30" s="1" t="s">
        <v>619</v>
      </c>
      <c r="C30" s="7">
        <v>3296.3126427741945</v>
      </c>
      <c r="E30" s="1">
        <v>28</v>
      </c>
      <c r="F30" s="1" t="s">
        <v>117</v>
      </c>
      <c r="G30" s="7">
        <v>381.39503321110749</v>
      </c>
    </row>
    <row r="31" spans="1:9" x14ac:dyDescent="0.25">
      <c r="A31" s="1">
        <v>29</v>
      </c>
      <c r="B31" s="1" t="s">
        <v>571</v>
      </c>
      <c r="C31" s="7">
        <v>3282.0000000000005</v>
      </c>
      <c r="E31" s="1">
        <v>29</v>
      </c>
      <c r="F31" s="1" t="s">
        <v>534</v>
      </c>
      <c r="G31" s="7">
        <v>366.9</v>
      </c>
    </row>
    <row r="32" spans="1:9" x14ac:dyDescent="0.25">
      <c r="A32" s="1">
        <v>30</v>
      </c>
      <c r="B32" s="1" t="s">
        <v>465</v>
      </c>
      <c r="C32" s="7">
        <v>3260.7000000000007</v>
      </c>
      <c r="E32" s="1">
        <v>30</v>
      </c>
      <c r="F32" s="1" t="s">
        <v>239</v>
      </c>
      <c r="G32" s="7">
        <v>366.9</v>
      </c>
    </row>
    <row r="33" spans="1:7" x14ac:dyDescent="0.25">
      <c r="A33" s="1">
        <v>31</v>
      </c>
      <c r="B33" s="1" t="s">
        <v>516</v>
      </c>
      <c r="C33" s="7">
        <v>3257.0999999999995</v>
      </c>
      <c r="E33" s="1">
        <v>31</v>
      </c>
      <c r="F33" s="1" t="s">
        <v>115</v>
      </c>
      <c r="G33" s="7">
        <v>366.9</v>
      </c>
    </row>
    <row r="34" spans="1:7" x14ac:dyDescent="0.25">
      <c r="A34" s="1">
        <v>32</v>
      </c>
      <c r="B34" s="1" t="s">
        <v>478</v>
      </c>
      <c r="C34" s="7">
        <v>3253.0310553768927</v>
      </c>
      <c r="E34" s="1">
        <v>32</v>
      </c>
      <c r="F34" s="1" t="s">
        <v>221</v>
      </c>
      <c r="G34" s="7">
        <v>366.9</v>
      </c>
    </row>
    <row r="35" spans="1:7" x14ac:dyDescent="0.25">
      <c r="A35" s="1">
        <v>33</v>
      </c>
      <c r="B35" s="1" t="s">
        <v>463</v>
      </c>
      <c r="C35" s="7">
        <v>3252.4</v>
      </c>
      <c r="E35" s="1">
        <v>33</v>
      </c>
      <c r="F35" s="1" t="s">
        <v>519</v>
      </c>
      <c r="G35" s="7">
        <v>366.9</v>
      </c>
    </row>
    <row r="36" spans="1:7" x14ac:dyDescent="0.25">
      <c r="A36" s="1">
        <v>34</v>
      </c>
      <c r="B36" s="1" t="s">
        <v>480</v>
      </c>
      <c r="C36" s="7">
        <v>3250.9999999999995</v>
      </c>
      <c r="E36" s="1">
        <v>34</v>
      </c>
      <c r="F36" s="1" t="s">
        <v>233</v>
      </c>
      <c r="G36" s="7">
        <v>366.9</v>
      </c>
    </row>
    <row r="37" spans="1:7" x14ac:dyDescent="0.25">
      <c r="A37" s="1">
        <v>35</v>
      </c>
      <c r="B37" s="1" t="s">
        <v>214</v>
      </c>
      <c r="C37" s="7">
        <v>3228.8999999999996</v>
      </c>
      <c r="E37" s="1">
        <v>35</v>
      </c>
      <c r="F37" s="1" t="s">
        <v>526</v>
      </c>
      <c r="G37" s="7">
        <v>366.9</v>
      </c>
    </row>
    <row r="38" spans="1:7" x14ac:dyDescent="0.25">
      <c r="A38" s="1">
        <v>36</v>
      </c>
      <c r="B38" s="1" t="s">
        <v>259</v>
      </c>
      <c r="C38" s="7">
        <v>3225.4</v>
      </c>
      <c r="E38" s="1">
        <v>36</v>
      </c>
      <c r="F38" s="1" t="s">
        <v>551</v>
      </c>
      <c r="G38" s="7">
        <v>358.7</v>
      </c>
    </row>
    <row r="39" spans="1:7" x14ac:dyDescent="0.25">
      <c r="A39" s="1">
        <v>37</v>
      </c>
      <c r="B39" s="1" t="s">
        <v>579</v>
      </c>
      <c r="C39" s="7">
        <v>3221.1</v>
      </c>
      <c r="E39" s="1">
        <v>37</v>
      </c>
      <c r="F39" s="1" t="s">
        <v>232</v>
      </c>
      <c r="G39" s="7">
        <v>357.14770111204632</v>
      </c>
    </row>
    <row r="40" spans="1:7" x14ac:dyDescent="0.25">
      <c r="A40" s="1">
        <v>38</v>
      </c>
      <c r="B40" s="1" t="s">
        <v>477</v>
      </c>
      <c r="C40" s="7">
        <v>3221.0625405508999</v>
      </c>
      <c r="E40" s="1">
        <v>38</v>
      </c>
      <c r="F40" s="1" t="s">
        <v>462</v>
      </c>
      <c r="G40" s="7">
        <v>354.4320606127618</v>
      </c>
    </row>
    <row r="41" spans="1:7" x14ac:dyDescent="0.25">
      <c r="A41" s="1">
        <v>39</v>
      </c>
      <c r="B41" s="1" t="s">
        <v>11</v>
      </c>
      <c r="C41" s="7">
        <v>3216.711791844923</v>
      </c>
      <c r="E41" s="1">
        <v>39</v>
      </c>
      <c r="F41" s="1" t="s">
        <v>527</v>
      </c>
      <c r="G41" s="7">
        <v>337</v>
      </c>
    </row>
    <row r="42" spans="1:7" x14ac:dyDescent="0.25">
      <c r="A42" s="1">
        <v>40</v>
      </c>
      <c r="B42" s="1" t="s">
        <v>614</v>
      </c>
      <c r="C42" s="7">
        <v>3209.6385055602318</v>
      </c>
      <c r="E42" s="1">
        <v>40</v>
      </c>
      <c r="F42" s="1" t="s">
        <v>383</v>
      </c>
      <c r="G42" s="7">
        <v>325</v>
      </c>
    </row>
    <row r="43" spans="1:7" x14ac:dyDescent="0.25">
      <c r="A43" s="1">
        <v>41</v>
      </c>
      <c r="B43" s="1" t="s">
        <v>533</v>
      </c>
      <c r="C43" s="7">
        <v>3137.3</v>
      </c>
      <c r="E43" s="1">
        <v>41</v>
      </c>
      <c r="F43" s="1" t="s">
        <v>219</v>
      </c>
      <c r="G43" s="7">
        <v>317.60000000000002</v>
      </c>
    </row>
    <row r="44" spans="1:7" x14ac:dyDescent="0.25">
      <c r="A44" s="1">
        <v>42</v>
      </c>
      <c r="B44" s="1" t="s">
        <v>490</v>
      </c>
      <c r="C44" s="7">
        <v>3115.5</v>
      </c>
      <c r="E44" s="1">
        <v>42</v>
      </c>
      <c r="F44" s="1" t="s">
        <v>550</v>
      </c>
      <c r="G44" s="7">
        <v>273.39503321110749</v>
      </c>
    </row>
    <row r="45" spans="1:7" x14ac:dyDescent="0.25">
      <c r="A45" s="1">
        <v>43</v>
      </c>
      <c r="B45" s="1" t="s">
        <v>595</v>
      </c>
      <c r="C45" s="7">
        <v>3108.4043416615841</v>
      </c>
      <c r="E45" s="1">
        <v>43</v>
      </c>
      <c r="F45" s="1" t="s">
        <v>256</v>
      </c>
      <c r="G45" s="7">
        <v>273.39503321110749</v>
      </c>
    </row>
    <row r="46" spans="1:7" x14ac:dyDescent="0.25">
      <c r="A46" s="1">
        <v>44</v>
      </c>
      <c r="B46" s="1" t="s">
        <v>622</v>
      </c>
      <c r="C46" s="7">
        <v>3096.6625405509003</v>
      </c>
      <c r="E46" s="1">
        <v>44</v>
      </c>
      <c r="F46" s="1" t="s">
        <v>241</v>
      </c>
      <c r="G46" s="7">
        <v>273.39503321110749</v>
      </c>
    </row>
    <row r="47" spans="1:7" x14ac:dyDescent="0.25">
      <c r="A47" s="1">
        <v>45</v>
      </c>
      <c r="B47" s="1" t="s">
        <v>226</v>
      </c>
      <c r="C47" s="7">
        <v>3076.2000000000003</v>
      </c>
      <c r="E47" s="1">
        <v>45</v>
      </c>
      <c r="F47" s="1" t="s">
        <v>238</v>
      </c>
      <c r="G47" s="7">
        <v>270.89999999999998</v>
      </c>
    </row>
    <row r="48" spans="1:7" x14ac:dyDescent="0.25">
      <c r="A48" s="1">
        <v>46</v>
      </c>
      <c r="B48" s="1" t="s">
        <v>557</v>
      </c>
      <c r="C48" s="7">
        <v>3071.2000000000003</v>
      </c>
      <c r="E48" s="1">
        <v>46</v>
      </c>
      <c r="F48" s="1" t="s">
        <v>520</v>
      </c>
      <c r="G48" s="7">
        <v>270.89999999999998</v>
      </c>
    </row>
    <row r="49" spans="1:7" x14ac:dyDescent="0.25">
      <c r="A49" s="1">
        <v>47</v>
      </c>
      <c r="B49" s="1" t="s">
        <v>221</v>
      </c>
      <c r="C49" s="7">
        <v>3068.0000000000005</v>
      </c>
      <c r="E49" s="1">
        <v>47</v>
      </c>
      <c r="F49" s="1" t="s">
        <v>159</v>
      </c>
      <c r="G49" s="7">
        <v>270.89999999999998</v>
      </c>
    </row>
    <row r="50" spans="1:7" x14ac:dyDescent="0.25">
      <c r="A50" s="1">
        <v>48</v>
      </c>
      <c r="B50" s="1" t="s">
        <v>531</v>
      </c>
      <c r="C50" s="7">
        <v>3061.7</v>
      </c>
      <c r="E50" s="1">
        <v>48</v>
      </c>
      <c r="F50" s="1" t="s">
        <v>258</v>
      </c>
      <c r="G50" s="7">
        <v>270.89999999999998</v>
      </c>
    </row>
    <row r="51" spans="1:7" x14ac:dyDescent="0.25">
      <c r="A51" s="1">
        <v>49</v>
      </c>
      <c r="B51" s="1" t="s">
        <v>610</v>
      </c>
      <c r="C51" s="7">
        <v>3041.4999999999995</v>
      </c>
      <c r="E51" s="1">
        <v>49</v>
      </c>
      <c r="F51" s="1" t="s">
        <v>205</v>
      </c>
      <c r="G51" s="7">
        <v>270.89999999999998</v>
      </c>
    </row>
    <row r="52" spans="1:7" x14ac:dyDescent="0.25">
      <c r="A52" s="1">
        <v>50</v>
      </c>
      <c r="B52" s="1" t="s">
        <v>223</v>
      </c>
      <c r="C52" s="7">
        <v>3038</v>
      </c>
      <c r="E52" s="1">
        <v>50</v>
      </c>
      <c r="F52" s="1" t="s">
        <v>630</v>
      </c>
      <c r="G52" s="7">
        <v>270.89999999999998</v>
      </c>
    </row>
    <row r="53" spans="1:7" x14ac:dyDescent="0.25">
      <c r="A53" s="1">
        <v>51</v>
      </c>
      <c r="B53" s="1" t="s">
        <v>466</v>
      </c>
      <c r="C53" s="7">
        <v>3036.6</v>
      </c>
      <c r="E53" s="1">
        <v>51</v>
      </c>
      <c r="F53" s="1" t="s">
        <v>632</v>
      </c>
      <c r="G53" s="7">
        <v>270.89999999999998</v>
      </c>
    </row>
    <row r="54" spans="1:7" x14ac:dyDescent="0.25">
      <c r="A54" s="1">
        <v>52</v>
      </c>
      <c r="B54" s="1" t="s">
        <v>545</v>
      </c>
      <c r="C54" s="7">
        <v>3027.7</v>
      </c>
      <c r="E54" s="1">
        <v>52</v>
      </c>
      <c r="F54" s="1" t="s">
        <v>480</v>
      </c>
      <c r="G54" s="7">
        <v>270.89999999999998</v>
      </c>
    </row>
    <row r="55" spans="1:7" x14ac:dyDescent="0.25">
      <c r="A55" s="1">
        <v>53</v>
      </c>
      <c r="B55" s="1" t="s">
        <v>258</v>
      </c>
      <c r="C55" s="7">
        <v>3024.6</v>
      </c>
      <c r="E55" s="1">
        <v>53</v>
      </c>
      <c r="F55" s="1" t="s">
        <v>206</v>
      </c>
      <c r="G55" s="7">
        <v>270.89999999999998</v>
      </c>
    </row>
    <row r="56" spans="1:7" x14ac:dyDescent="0.25">
      <c r="A56" s="1">
        <v>54</v>
      </c>
      <c r="B56" s="1" t="s">
        <v>618</v>
      </c>
      <c r="C56" s="7">
        <v>2992.7000000000003</v>
      </c>
      <c r="E56" s="1">
        <v>54</v>
      </c>
      <c r="F56" s="1" t="s">
        <v>207</v>
      </c>
      <c r="G56" s="7">
        <v>270.89999999999998</v>
      </c>
    </row>
    <row r="57" spans="1:7" x14ac:dyDescent="0.25">
      <c r="A57" s="1">
        <v>55</v>
      </c>
      <c r="B57" s="1" t="s">
        <v>213</v>
      </c>
      <c r="C57" s="7">
        <v>2991.3</v>
      </c>
      <c r="E57" s="1">
        <v>55</v>
      </c>
      <c r="F57" s="1" t="s">
        <v>487</v>
      </c>
      <c r="G57" s="7">
        <v>270.89999999999998</v>
      </c>
    </row>
    <row r="58" spans="1:7" x14ac:dyDescent="0.25">
      <c r="A58" s="1">
        <v>56</v>
      </c>
      <c r="B58" s="1" t="s">
        <v>546</v>
      </c>
      <c r="C58" s="7">
        <v>2991.2010461111317</v>
      </c>
      <c r="E58" s="1">
        <v>56</v>
      </c>
      <c r="F58" s="1" t="s">
        <v>562</v>
      </c>
      <c r="G58" s="7">
        <v>270.89999999999998</v>
      </c>
    </row>
    <row r="59" spans="1:7" x14ac:dyDescent="0.25">
      <c r="A59" s="1">
        <v>57</v>
      </c>
      <c r="B59" s="1" t="s">
        <v>419</v>
      </c>
      <c r="C59" s="7">
        <v>2985.0310553768927</v>
      </c>
      <c r="E59" s="1">
        <v>57</v>
      </c>
      <c r="F59" s="1" t="s">
        <v>594</v>
      </c>
      <c r="G59" s="7">
        <v>270.89999999999998</v>
      </c>
    </row>
    <row r="60" spans="1:7" x14ac:dyDescent="0.25">
      <c r="A60" s="1">
        <v>58</v>
      </c>
      <c r="B60" s="1" t="s">
        <v>486</v>
      </c>
      <c r="C60" s="7">
        <v>2962.7010461111317</v>
      </c>
      <c r="E60" s="1">
        <v>58</v>
      </c>
      <c r="F60" s="1" t="s">
        <v>533</v>
      </c>
      <c r="G60" s="7">
        <v>270.89999999999998</v>
      </c>
    </row>
    <row r="61" spans="1:7" x14ac:dyDescent="0.25">
      <c r="A61" s="1">
        <v>59</v>
      </c>
      <c r="B61" s="1" t="s">
        <v>111</v>
      </c>
      <c r="C61" s="7">
        <v>2942.7999999999997</v>
      </c>
      <c r="E61" s="1">
        <v>59</v>
      </c>
      <c r="F61" s="1" t="s">
        <v>466</v>
      </c>
      <c r="G61" s="7">
        <v>270.89999999999998</v>
      </c>
    </row>
    <row r="62" spans="1:7" x14ac:dyDescent="0.25">
      <c r="A62" s="1">
        <v>60</v>
      </c>
      <c r="B62" s="1" t="s">
        <v>514</v>
      </c>
      <c r="C62" s="7">
        <v>2937.9</v>
      </c>
      <c r="E62" s="1">
        <v>60</v>
      </c>
      <c r="F62" s="1" t="s">
        <v>465</v>
      </c>
      <c r="G62" s="7">
        <v>270.89999999999998</v>
      </c>
    </row>
    <row r="63" spans="1:7" x14ac:dyDescent="0.25">
      <c r="A63" s="1">
        <v>61</v>
      </c>
      <c r="B63" s="1" t="s">
        <v>587</v>
      </c>
      <c r="C63" s="7">
        <v>2930.5633914801715</v>
      </c>
      <c r="E63" s="1">
        <v>61</v>
      </c>
      <c r="F63" s="1" t="s">
        <v>585</v>
      </c>
      <c r="G63" s="7">
        <v>270.89999999999998</v>
      </c>
    </row>
    <row r="64" spans="1:7" x14ac:dyDescent="0.25">
      <c r="A64" s="1">
        <v>62</v>
      </c>
      <c r="B64" s="1" t="s">
        <v>605</v>
      </c>
      <c r="C64" s="7">
        <v>2929.5</v>
      </c>
      <c r="E64" s="1">
        <v>62</v>
      </c>
      <c r="F64" s="1" t="s">
        <v>515</v>
      </c>
      <c r="G64" s="7">
        <v>270.89999999999998</v>
      </c>
    </row>
    <row r="65" spans="1:7" x14ac:dyDescent="0.25">
      <c r="A65" s="1">
        <v>63</v>
      </c>
      <c r="B65" s="1" t="s">
        <v>640</v>
      </c>
      <c r="C65" s="7">
        <v>2929.2000000000003</v>
      </c>
      <c r="E65" s="1">
        <v>63</v>
      </c>
      <c r="F65" s="1" t="s">
        <v>538</v>
      </c>
      <c r="G65" s="7">
        <v>270.89999999999998</v>
      </c>
    </row>
    <row r="66" spans="1:7" x14ac:dyDescent="0.25">
      <c r="A66" s="1">
        <v>64</v>
      </c>
      <c r="B66" s="1" t="s">
        <v>470</v>
      </c>
      <c r="C66" s="7">
        <v>2924.9</v>
      </c>
      <c r="E66" s="1">
        <v>64</v>
      </c>
      <c r="F66" s="1" t="s">
        <v>589</v>
      </c>
      <c r="G66" s="7">
        <v>270.89999999999998</v>
      </c>
    </row>
    <row r="67" spans="1:7" x14ac:dyDescent="0.25">
      <c r="A67" s="1">
        <v>65</v>
      </c>
      <c r="B67" s="1" t="s">
        <v>113</v>
      </c>
      <c r="C67" s="7">
        <v>2921.2999999999997</v>
      </c>
      <c r="E67" s="1">
        <v>65</v>
      </c>
      <c r="F67" s="1" t="s">
        <v>467</v>
      </c>
      <c r="G67" s="7">
        <v>270.89999999999998</v>
      </c>
    </row>
    <row r="68" spans="1:7" x14ac:dyDescent="0.25">
      <c r="A68" s="1">
        <v>66</v>
      </c>
      <c r="B68" s="1" t="s">
        <v>562</v>
      </c>
      <c r="C68" s="7">
        <v>2919.5999999999995</v>
      </c>
      <c r="E68" s="1">
        <v>66</v>
      </c>
      <c r="F68" s="1" t="s">
        <v>587</v>
      </c>
      <c r="G68" s="7">
        <v>270.89999999999998</v>
      </c>
    </row>
    <row r="69" spans="1:7" x14ac:dyDescent="0.25">
      <c r="A69" s="1">
        <v>67</v>
      </c>
      <c r="B69" s="1" t="s">
        <v>522</v>
      </c>
      <c r="C69" s="7">
        <v>2911.7999999999997</v>
      </c>
      <c r="E69" s="1">
        <v>67</v>
      </c>
      <c r="F69" s="1" t="s">
        <v>604</v>
      </c>
      <c r="G69" s="7">
        <v>270.89999999999998</v>
      </c>
    </row>
    <row r="70" spans="1:7" x14ac:dyDescent="0.25">
      <c r="A70" s="1">
        <v>68</v>
      </c>
      <c r="B70" s="1" t="s">
        <v>536</v>
      </c>
      <c r="C70" s="7">
        <v>2901.1000000000004</v>
      </c>
      <c r="E70" s="1">
        <v>68</v>
      </c>
      <c r="F70" s="1" t="s">
        <v>229</v>
      </c>
      <c r="G70" s="7">
        <v>270.89999999999998</v>
      </c>
    </row>
    <row r="71" spans="1:7" x14ac:dyDescent="0.25">
      <c r="A71" s="1">
        <v>69</v>
      </c>
      <c r="B71" s="1" t="s">
        <v>591</v>
      </c>
      <c r="C71" s="7">
        <v>2892.4</v>
      </c>
      <c r="E71" s="1">
        <v>69</v>
      </c>
      <c r="F71" s="1" t="s">
        <v>616</v>
      </c>
      <c r="G71" s="7">
        <v>267.79695240606941</v>
      </c>
    </row>
    <row r="72" spans="1:7" x14ac:dyDescent="0.25">
      <c r="A72" s="1">
        <v>70</v>
      </c>
      <c r="B72" s="1" t="s">
        <v>578</v>
      </c>
      <c r="C72" s="7">
        <v>2892.2</v>
      </c>
      <c r="E72" s="1">
        <v>70</v>
      </c>
      <c r="F72" s="1" t="s">
        <v>522</v>
      </c>
      <c r="G72" s="7">
        <v>262.7</v>
      </c>
    </row>
    <row r="73" spans="1:7" x14ac:dyDescent="0.25">
      <c r="A73" s="1">
        <v>71</v>
      </c>
      <c r="B73" s="1" t="s">
        <v>552</v>
      </c>
      <c r="C73" s="7">
        <v>2884.6000000000004</v>
      </c>
      <c r="E73" s="1">
        <v>71</v>
      </c>
      <c r="F73" s="1" t="s">
        <v>559</v>
      </c>
      <c r="G73" s="7">
        <v>262.7</v>
      </c>
    </row>
    <row r="74" spans="1:7" x14ac:dyDescent="0.25">
      <c r="A74" s="1">
        <v>72</v>
      </c>
      <c r="B74" s="1" t="s">
        <v>515</v>
      </c>
      <c r="C74" s="7">
        <v>2864.2</v>
      </c>
      <c r="E74" s="1">
        <v>72</v>
      </c>
      <c r="F74" s="1" t="s">
        <v>224</v>
      </c>
      <c r="G74" s="7">
        <v>262.7</v>
      </c>
    </row>
    <row r="75" spans="1:7" x14ac:dyDescent="0.25">
      <c r="A75" s="1">
        <v>73</v>
      </c>
      <c r="B75" s="1" t="s">
        <v>222</v>
      </c>
      <c r="C75" s="7">
        <v>2856.5625405508999</v>
      </c>
      <c r="E75" s="1">
        <v>73</v>
      </c>
      <c r="F75" s="1" t="s">
        <v>499</v>
      </c>
      <c r="G75" s="7">
        <v>262.7</v>
      </c>
    </row>
    <row r="76" spans="1:7" x14ac:dyDescent="0.25">
      <c r="A76" s="1">
        <v>74</v>
      </c>
      <c r="B76" s="1" t="s">
        <v>518</v>
      </c>
      <c r="C76" s="7">
        <v>2847.8</v>
      </c>
      <c r="E76" s="1">
        <v>74</v>
      </c>
      <c r="F76" s="1" t="s">
        <v>597</v>
      </c>
      <c r="G76" s="7">
        <v>262.7</v>
      </c>
    </row>
    <row r="77" spans="1:7" x14ac:dyDescent="0.25">
      <c r="A77" s="1">
        <v>75</v>
      </c>
      <c r="B77" s="1" t="s">
        <v>508</v>
      </c>
      <c r="C77" s="7">
        <v>2844.7999999999997</v>
      </c>
      <c r="E77" s="1">
        <v>75</v>
      </c>
      <c r="F77" s="1" t="s">
        <v>495</v>
      </c>
      <c r="G77" s="7">
        <v>262.7</v>
      </c>
    </row>
    <row r="78" spans="1:7" x14ac:dyDescent="0.25">
      <c r="A78" s="1">
        <v>76</v>
      </c>
      <c r="B78" s="1" t="s">
        <v>543</v>
      </c>
      <c r="C78" s="7">
        <v>2821.2</v>
      </c>
      <c r="E78" s="1">
        <v>76</v>
      </c>
      <c r="F78" s="1" t="s">
        <v>578</v>
      </c>
      <c r="G78" s="7">
        <v>258.89999999999998</v>
      </c>
    </row>
    <row r="79" spans="1:7" x14ac:dyDescent="0.25">
      <c r="A79" s="1">
        <v>77</v>
      </c>
      <c r="B79" s="1" t="s">
        <v>496</v>
      </c>
      <c r="C79" s="7">
        <v>2815.1417824486271</v>
      </c>
      <c r="E79" s="1">
        <v>77</v>
      </c>
      <c r="F79" s="1" t="s">
        <v>567</v>
      </c>
      <c r="G79" s="7">
        <v>258.89999999999998</v>
      </c>
    </row>
    <row r="80" spans="1:7" x14ac:dyDescent="0.25">
      <c r="A80" s="1">
        <v>78</v>
      </c>
      <c r="B80" s="1" t="s">
        <v>237</v>
      </c>
      <c r="C80" s="7">
        <v>2814.6</v>
      </c>
      <c r="E80" s="1">
        <v>78</v>
      </c>
      <c r="F80" s="1" t="s">
        <v>569</v>
      </c>
      <c r="G80" s="7">
        <v>258.89999999999998</v>
      </c>
    </row>
    <row r="81" spans="1:7" x14ac:dyDescent="0.25">
      <c r="A81" s="1">
        <v>79</v>
      </c>
      <c r="B81" s="1" t="s">
        <v>574</v>
      </c>
      <c r="C81" s="7">
        <v>2812.8999999999996</v>
      </c>
      <c r="E81" s="1">
        <v>79</v>
      </c>
      <c r="F81" s="1" t="s">
        <v>475</v>
      </c>
      <c r="G81" s="7">
        <v>258.89999999999998</v>
      </c>
    </row>
    <row r="82" spans="1:7" x14ac:dyDescent="0.25">
      <c r="A82" s="1">
        <v>80</v>
      </c>
      <c r="B82" s="1" t="s">
        <v>487</v>
      </c>
      <c r="C82" s="7">
        <v>2809</v>
      </c>
      <c r="E82" s="1">
        <v>80</v>
      </c>
      <c r="F82" s="1" t="s">
        <v>310</v>
      </c>
      <c r="G82" s="7">
        <v>258.89999999999998</v>
      </c>
    </row>
    <row r="83" spans="1:7" x14ac:dyDescent="0.25">
      <c r="A83" s="1">
        <v>81</v>
      </c>
      <c r="B83" s="1" t="s">
        <v>630</v>
      </c>
      <c r="C83" s="7">
        <v>2804.5778796238983</v>
      </c>
      <c r="E83" s="1">
        <v>81</v>
      </c>
      <c r="F83" s="1" t="s">
        <v>391</v>
      </c>
      <c r="G83" s="7">
        <v>250.7</v>
      </c>
    </row>
    <row r="84" spans="1:7" x14ac:dyDescent="0.25">
      <c r="A84" s="1">
        <v>82</v>
      </c>
      <c r="B84" s="1" t="s">
        <v>550</v>
      </c>
      <c r="C84" s="7">
        <v>2776.1925498166611</v>
      </c>
      <c r="E84" s="1">
        <v>82</v>
      </c>
      <c r="F84" s="1" t="s">
        <v>226</v>
      </c>
      <c r="G84" s="7">
        <v>250.7</v>
      </c>
    </row>
    <row r="85" spans="1:7" x14ac:dyDescent="0.25">
      <c r="A85" s="1">
        <v>83</v>
      </c>
      <c r="B85" s="1" t="s">
        <v>212</v>
      </c>
      <c r="C85" s="7">
        <v>2773.3999999999996</v>
      </c>
      <c r="E85" s="1">
        <v>83</v>
      </c>
      <c r="F85" s="1" t="s">
        <v>592</v>
      </c>
      <c r="G85" s="7">
        <v>236.14770111204632</v>
      </c>
    </row>
    <row r="86" spans="1:7" x14ac:dyDescent="0.25">
      <c r="A86" s="1">
        <v>84</v>
      </c>
      <c r="B86" s="1" t="s">
        <v>575</v>
      </c>
      <c r="C86" s="7">
        <v>2770.9</v>
      </c>
      <c r="E86" s="1">
        <v>84</v>
      </c>
      <c r="F86" s="1" t="s">
        <v>584</v>
      </c>
      <c r="G86" s="7">
        <v>236.14770111204632</v>
      </c>
    </row>
    <row r="87" spans="1:7" x14ac:dyDescent="0.25">
      <c r="A87" s="1">
        <v>85</v>
      </c>
      <c r="B87" s="1" t="s">
        <v>219</v>
      </c>
      <c r="C87" s="7">
        <v>2755.2196620725254</v>
      </c>
      <c r="E87" s="1">
        <v>85</v>
      </c>
      <c r="F87" s="1" t="s">
        <v>619</v>
      </c>
      <c r="G87" s="7">
        <v>235.64925129402306</v>
      </c>
    </row>
    <row r="88" spans="1:7" x14ac:dyDescent="0.25">
      <c r="A88" s="1">
        <v>86</v>
      </c>
      <c r="B88" s="1" t="s">
        <v>565</v>
      </c>
      <c r="C88" s="7">
        <v>2754.2</v>
      </c>
      <c r="E88" s="1">
        <v>86</v>
      </c>
      <c r="F88" s="1" t="s">
        <v>555</v>
      </c>
      <c r="G88" s="7">
        <v>235.64925129402306</v>
      </c>
    </row>
    <row r="89" spans="1:7" x14ac:dyDescent="0.25">
      <c r="A89" s="1">
        <v>87</v>
      </c>
      <c r="B89" s="1" t="s">
        <v>468</v>
      </c>
      <c r="C89" s="7">
        <v>2745.0218598250776</v>
      </c>
      <c r="E89" s="1">
        <v>87</v>
      </c>
      <c r="F89" s="1" t="s">
        <v>576</v>
      </c>
      <c r="G89" s="7">
        <v>235.64925129402306</v>
      </c>
    </row>
    <row r="90" spans="1:7" x14ac:dyDescent="0.25">
      <c r="A90" s="1">
        <v>88</v>
      </c>
      <c r="B90" s="1" t="s">
        <v>257</v>
      </c>
      <c r="C90" s="7">
        <v>2744.7999999999997</v>
      </c>
      <c r="E90" s="1">
        <v>88</v>
      </c>
      <c r="F90" s="1" t="s">
        <v>216</v>
      </c>
      <c r="G90" s="7">
        <v>229</v>
      </c>
    </row>
    <row r="91" spans="1:7" x14ac:dyDescent="0.25">
      <c r="A91" s="1">
        <v>89</v>
      </c>
      <c r="B91" s="1" t="s">
        <v>511</v>
      </c>
      <c r="C91" s="7">
        <v>2739.3</v>
      </c>
      <c r="E91" s="1">
        <v>89</v>
      </c>
      <c r="F91" s="1" t="s">
        <v>237</v>
      </c>
      <c r="G91" s="7">
        <v>229</v>
      </c>
    </row>
    <row r="92" spans="1:7" x14ac:dyDescent="0.25">
      <c r="A92" s="1">
        <v>90</v>
      </c>
      <c r="B92" s="1" t="s">
        <v>160</v>
      </c>
      <c r="C92" s="7">
        <v>2739.2999999999997</v>
      </c>
      <c r="E92" s="1">
        <v>90</v>
      </c>
      <c r="F92" s="1" t="s">
        <v>476</v>
      </c>
      <c r="G92" s="7">
        <v>229</v>
      </c>
    </row>
    <row r="93" spans="1:7" x14ac:dyDescent="0.25">
      <c r="A93" s="1">
        <v>91</v>
      </c>
      <c r="B93" s="1" t="s">
        <v>201</v>
      </c>
      <c r="C93" s="7">
        <v>2717.7</v>
      </c>
      <c r="E93" s="1">
        <v>91</v>
      </c>
      <c r="F93" s="1" t="s">
        <v>554</v>
      </c>
      <c r="G93" s="7">
        <v>229</v>
      </c>
    </row>
    <row r="94" spans="1:7" x14ac:dyDescent="0.25">
      <c r="A94" s="1">
        <v>92</v>
      </c>
      <c r="B94" s="1" t="s">
        <v>636</v>
      </c>
      <c r="C94" s="7">
        <v>2711.3</v>
      </c>
      <c r="E94" s="1">
        <v>92</v>
      </c>
      <c r="F94" s="1" t="s">
        <v>601</v>
      </c>
      <c r="G94" s="7">
        <v>204</v>
      </c>
    </row>
    <row r="95" spans="1:7" x14ac:dyDescent="0.25">
      <c r="A95" s="1">
        <v>93</v>
      </c>
      <c r="B95" s="1" t="s">
        <v>484</v>
      </c>
      <c r="C95" s="7">
        <v>2706.197516605554</v>
      </c>
      <c r="E95" s="1">
        <v>93</v>
      </c>
      <c r="F95" s="1" t="s">
        <v>535</v>
      </c>
      <c r="G95" s="7">
        <v>204</v>
      </c>
    </row>
    <row r="96" spans="1:7" x14ac:dyDescent="0.25">
      <c r="A96" s="1">
        <v>94</v>
      </c>
      <c r="B96" s="1" t="s">
        <v>476</v>
      </c>
      <c r="C96" s="7">
        <v>2706.0947224829538</v>
      </c>
      <c r="E96" s="1">
        <v>94</v>
      </c>
      <c r="F96" s="1" t="s">
        <v>571</v>
      </c>
      <c r="G96" s="7">
        <v>204</v>
      </c>
    </row>
    <row r="97" spans="1:7" x14ac:dyDescent="0.25">
      <c r="A97" s="1">
        <v>95</v>
      </c>
      <c r="B97" s="1" t="s">
        <v>563</v>
      </c>
      <c r="C97" s="7">
        <v>2705.7417824486274</v>
      </c>
      <c r="E97" s="1">
        <v>95</v>
      </c>
      <c r="F97" s="1" t="s">
        <v>579</v>
      </c>
      <c r="G97" s="7">
        <v>204</v>
      </c>
    </row>
    <row r="98" spans="1:7" x14ac:dyDescent="0.25">
      <c r="A98" s="1">
        <v>96</v>
      </c>
      <c r="B98" s="1" t="s">
        <v>530</v>
      </c>
      <c r="C98" s="7">
        <v>2698.9385055602315</v>
      </c>
      <c r="E98" s="1">
        <v>96</v>
      </c>
      <c r="F98" s="1" t="s">
        <v>259</v>
      </c>
      <c r="G98" s="7">
        <v>204</v>
      </c>
    </row>
    <row r="99" spans="1:7" x14ac:dyDescent="0.25">
      <c r="A99" s="1">
        <v>97</v>
      </c>
      <c r="B99" s="1" t="s">
        <v>467</v>
      </c>
      <c r="C99" s="7">
        <v>2681</v>
      </c>
      <c r="E99" s="1">
        <v>97</v>
      </c>
      <c r="F99" s="1" t="s">
        <v>542</v>
      </c>
      <c r="G99" s="7">
        <v>204</v>
      </c>
    </row>
    <row r="100" spans="1:7" x14ac:dyDescent="0.25">
      <c r="A100" s="1">
        <v>98</v>
      </c>
      <c r="B100" s="1" t="s">
        <v>253</v>
      </c>
      <c r="C100" s="7">
        <v>2676.5010461111319</v>
      </c>
      <c r="E100" s="1">
        <v>98</v>
      </c>
      <c r="F100" s="1" t="s">
        <v>508</v>
      </c>
      <c r="G100" s="7">
        <v>204</v>
      </c>
    </row>
    <row r="101" spans="1:7" x14ac:dyDescent="0.25">
      <c r="A101" s="1">
        <v>99</v>
      </c>
      <c r="B101" s="1" t="s">
        <v>638</v>
      </c>
      <c r="C101" s="7">
        <v>2673.5803066709159</v>
      </c>
      <c r="E101" s="1">
        <v>99</v>
      </c>
      <c r="F101" s="1" t="s">
        <v>275</v>
      </c>
      <c r="G101" s="7">
        <v>204</v>
      </c>
    </row>
    <row r="102" spans="1:7" x14ac:dyDescent="0.25">
      <c r="A102" s="1">
        <v>100</v>
      </c>
      <c r="B102" s="1" t="s">
        <v>568</v>
      </c>
      <c r="C102" s="7">
        <v>2667.3</v>
      </c>
      <c r="E102" s="1">
        <v>100</v>
      </c>
      <c r="F102" s="1" t="s">
        <v>500</v>
      </c>
      <c r="G102" s="7">
        <v>204</v>
      </c>
    </row>
    <row r="103" spans="1:7" x14ac:dyDescent="0.25">
      <c r="A103" s="1">
        <v>101</v>
      </c>
      <c r="B103" s="1" t="s">
        <v>499</v>
      </c>
      <c r="C103" s="7">
        <v>2666.8588147428964</v>
      </c>
      <c r="E103" s="1">
        <v>101</v>
      </c>
      <c r="F103" s="1" t="s">
        <v>160</v>
      </c>
      <c r="G103" s="7">
        <v>204</v>
      </c>
    </row>
    <row r="104" spans="1:7" x14ac:dyDescent="0.25">
      <c r="A104" s="1">
        <v>102</v>
      </c>
      <c r="B104" s="1" t="s">
        <v>567</v>
      </c>
      <c r="C104" s="7">
        <v>2663.9975166055538</v>
      </c>
      <c r="E104" s="1">
        <v>102</v>
      </c>
      <c r="F104" s="1" t="s">
        <v>482</v>
      </c>
      <c r="G104" s="7">
        <v>204</v>
      </c>
    </row>
    <row r="105" spans="1:7" x14ac:dyDescent="0.25">
      <c r="A105" s="1">
        <v>103</v>
      </c>
      <c r="B105" s="1" t="s">
        <v>0</v>
      </c>
      <c r="C105" s="7">
        <v>2660.7999999999997</v>
      </c>
      <c r="E105" s="1">
        <v>103</v>
      </c>
      <c r="F105" s="1" t="s">
        <v>463</v>
      </c>
      <c r="G105" s="7">
        <v>204</v>
      </c>
    </row>
    <row r="106" spans="1:7" x14ac:dyDescent="0.25">
      <c r="A106" s="1">
        <v>104</v>
      </c>
      <c r="B106" s="1" t="s">
        <v>537</v>
      </c>
      <c r="C106" s="7">
        <v>2631.0213064940876</v>
      </c>
      <c r="E106" s="1">
        <v>104</v>
      </c>
      <c r="F106" s="1" t="s">
        <v>565</v>
      </c>
      <c r="G106" s="7">
        <v>204</v>
      </c>
    </row>
    <row r="107" spans="1:7" x14ac:dyDescent="0.25">
      <c r="A107" s="1">
        <v>105</v>
      </c>
      <c r="B107" s="1" t="s">
        <v>482</v>
      </c>
      <c r="C107" s="7">
        <v>2578.1999999999998</v>
      </c>
      <c r="E107" s="1">
        <v>105</v>
      </c>
      <c r="F107" s="1" t="s">
        <v>586</v>
      </c>
      <c r="G107" s="7">
        <v>204</v>
      </c>
    </row>
    <row r="108" spans="1:7" x14ac:dyDescent="0.25">
      <c r="A108" s="1">
        <v>106</v>
      </c>
      <c r="B108" s="1" t="s">
        <v>632</v>
      </c>
      <c r="C108" s="7">
        <v>2576</v>
      </c>
      <c r="E108" s="1">
        <v>106</v>
      </c>
      <c r="F108" s="1" t="s">
        <v>626</v>
      </c>
      <c r="G108" s="7">
        <v>204</v>
      </c>
    </row>
    <row r="109" spans="1:7" x14ac:dyDescent="0.25">
      <c r="A109" s="1">
        <v>107</v>
      </c>
      <c r="B109" s="1" t="s">
        <v>538</v>
      </c>
      <c r="C109" s="7">
        <v>2567.7625405509002</v>
      </c>
      <c r="E109" s="1">
        <v>107</v>
      </c>
      <c r="F109" s="1" t="s">
        <v>528</v>
      </c>
      <c r="G109" s="7">
        <v>195.0477011120463</v>
      </c>
    </row>
    <row r="110" spans="1:7" x14ac:dyDescent="0.25">
      <c r="A110" s="1">
        <v>108</v>
      </c>
      <c r="B110" s="1" t="s">
        <v>542</v>
      </c>
      <c r="C110" s="7">
        <v>2556.1</v>
      </c>
      <c r="E110" s="1">
        <v>108</v>
      </c>
      <c r="F110" s="1" t="s">
        <v>517</v>
      </c>
      <c r="G110" s="7">
        <v>186.84770111204631</v>
      </c>
    </row>
    <row r="111" spans="1:7" x14ac:dyDescent="0.25">
      <c r="A111" s="1">
        <v>109</v>
      </c>
      <c r="B111" s="1" t="s">
        <v>596</v>
      </c>
      <c r="C111" s="7">
        <v>2553.6999999999998</v>
      </c>
      <c r="E111" s="1">
        <v>109</v>
      </c>
      <c r="F111" s="1" t="s">
        <v>573</v>
      </c>
      <c r="G111" s="7">
        <v>162.9</v>
      </c>
    </row>
    <row r="112" spans="1:7" x14ac:dyDescent="0.25">
      <c r="A112" s="1">
        <v>110</v>
      </c>
      <c r="B112" s="1" t="s">
        <v>211</v>
      </c>
      <c r="C112" s="7">
        <v>2538.6</v>
      </c>
      <c r="E112" s="1">
        <v>110</v>
      </c>
      <c r="F112" s="1" t="s">
        <v>511</v>
      </c>
      <c r="G112" s="7">
        <v>162.9</v>
      </c>
    </row>
    <row r="113" spans="1:7" x14ac:dyDescent="0.25">
      <c r="A113" s="1">
        <v>111</v>
      </c>
      <c r="B113" s="1" t="s">
        <v>586</v>
      </c>
      <c r="C113" s="7">
        <v>2538.5</v>
      </c>
      <c r="E113" s="1">
        <v>111</v>
      </c>
      <c r="F113" s="1" t="s">
        <v>212</v>
      </c>
      <c r="G113" s="7">
        <v>162.9</v>
      </c>
    </row>
    <row r="114" spans="1:7" x14ac:dyDescent="0.25">
      <c r="A114" s="1">
        <v>112</v>
      </c>
      <c r="B114" s="1" t="s">
        <v>275</v>
      </c>
      <c r="C114" s="7">
        <v>2491.5213064940881</v>
      </c>
      <c r="E114" s="1">
        <v>112</v>
      </c>
      <c r="F114" s="1" t="s">
        <v>484</v>
      </c>
      <c r="G114" s="7">
        <v>162.9</v>
      </c>
    </row>
    <row r="115" spans="1:7" x14ac:dyDescent="0.25">
      <c r="A115" s="1">
        <v>113</v>
      </c>
      <c r="B115" s="1" t="s">
        <v>611</v>
      </c>
      <c r="C115" s="7">
        <v>2490.6947224829537</v>
      </c>
      <c r="E115" s="1">
        <v>113</v>
      </c>
      <c r="F115" s="1" t="s">
        <v>545</v>
      </c>
      <c r="G115" s="7">
        <v>162.9</v>
      </c>
    </row>
    <row r="116" spans="1:7" x14ac:dyDescent="0.25">
      <c r="A116" s="1">
        <v>114</v>
      </c>
      <c r="B116" s="1" t="s">
        <v>569</v>
      </c>
      <c r="C116" s="7">
        <v>2489.1633914801714</v>
      </c>
      <c r="E116" s="1">
        <v>114</v>
      </c>
      <c r="F116" s="1" t="s">
        <v>225</v>
      </c>
      <c r="G116" s="7">
        <v>162.9</v>
      </c>
    </row>
    <row r="117" spans="1:7" x14ac:dyDescent="0.25">
      <c r="A117" s="1">
        <v>115</v>
      </c>
      <c r="B117" s="1" t="s">
        <v>555</v>
      </c>
      <c r="C117" s="7">
        <v>2473.249251294023</v>
      </c>
      <c r="E117" s="1">
        <v>115</v>
      </c>
      <c r="F117" s="1" t="s">
        <v>470</v>
      </c>
      <c r="G117" s="7">
        <v>162.9</v>
      </c>
    </row>
    <row r="118" spans="1:7" x14ac:dyDescent="0.25">
      <c r="A118" s="1">
        <v>116</v>
      </c>
      <c r="B118" s="1" t="s">
        <v>232</v>
      </c>
      <c r="C118" s="7">
        <v>2465.2678155686481</v>
      </c>
      <c r="E118" s="1">
        <v>116</v>
      </c>
      <c r="F118" s="1" t="s">
        <v>250</v>
      </c>
      <c r="G118" s="7">
        <v>162.9</v>
      </c>
    </row>
    <row r="119" spans="1:7" x14ac:dyDescent="0.25">
      <c r="A119" s="1">
        <v>117</v>
      </c>
      <c r="B119" s="1" t="s">
        <v>519</v>
      </c>
      <c r="C119" s="7">
        <v>2463.8000000000002</v>
      </c>
      <c r="E119" s="1">
        <v>117</v>
      </c>
      <c r="F119" s="1" t="s">
        <v>633</v>
      </c>
      <c r="G119" s="7">
        <v>162.9</v>
      </c>
    </row>
    <row r="120" spans="1:7" x14ac:dyDescent="0.25">
      <c r="A120" s="1">
        <v>118</v>
      </c>
      <c r="B120" s="1" t="s">
        <v>604</v>
      </c>
      <c r="C120" s="7">
        <v>2458.5213064940881</v>
      </c>
      <c r="E120" s="1">
        <v>118</v>
      </c>
      <c r="F120" s="1" t="s">
        <v>590</v>
      </c>
      <c r="G120" s="7">
        <v>162.9</v>
      </c>
    </row>
    <row r="121" spans="1:7" x14ac:dyDescent="0.25">
      <c r="A121" s="1">
        <v>119</v>
      </c>
      <c r="B121" s="1" t="s">
        <v>209</v>
      </c>
      <c r="C121" s="7">
        <v>2453.9385055602315</v>
      </c>
      <c r="E121" s="1">
        <v>119</v>
      </c>
      <c r="F121" s="1" t="s">
        <v>613</v>
      </c>
      <c r="G121" s="7">
        <v>154.69999999999999</v>
      </c>
    </row>
    <row r="122" spans="1:7" x14ac:dyDescent="0.25">
      <c r="A122" s="1">
        <v>120</v>
      </c>
      <c r="B122" s="1" t="s">
        <v>584</v>
      </c>
      <c r="C122" s="7">
        <v>2441.5173931595314</v>
      </c>
      <c r="E122" s="1">
        <v>120</v>
      </c>
      <c r="F122" s="1" t="s">
        <v>210</v>
      </c>
      <c r="G122" s="7">
        <v>154.69999999999999</v>
      </c>
    </row>
    <row r="123" spans="1:7" x14ac:dyDescent="0.25">
      <c r="A123" s="1">
        <v>121</v>
      </c>
      <c r="B123" s="1" t="s">
        <v>626</v>
      </c>
      <c r="C123" s="7">
        <v>2436.6999999999998</v>
      </c>
      <c r="E123" s="1">
        <v>121</v>
      </c>
      <c r="F123" s="1" t="s">
        <v>479</v>
      </c>
      <c r="G123" s="7">
        <v>154.69999999999999</v>
      </c>
    </row>
    <row r="124" spans="1:7" x14ac:dyDescent="0.25">
      <c r="A124" s="1">
        <v>122</v>
      </c>
      <c r="B124" s="1" t="s">
        <v>509</v>
      </c>
      <c r="C124" s="7">
        <v>2428.8947224829535</v>
      </c>
      <c r="E124" s="1">
        <v>122</v>
      </c>
      <c r="F124" s="1" t="s">
        <v>600</v>
      </c>
      <c r="G124" s="7">
        <v>154.69999999999999</v>
      </c>
    </row>
    <row r="125" spans="1:7" x14ac:dyDescent="0.25">
      <c r="A125" s="1">
        <v>123</v>
      </c>
      <c r="B125" s="1" t="s">
        <v>210</v>
      </c>
      <c r="C125" s="7">
        <v>2417.3000000000002</v>
      </c>
      <c r="E125" s="1">
        <v>123</v>
      </c>
      <c r="F125" s="1" t="s">
        <v>581</v>
      </c>
      <c r="G125" s="7">
        <v>154.69999999999999</v>
      </c>
    </row>
    <row r="126" spans="1:7" x14ac:dyDescent="0.25">
      <c r="A126" s="1">
        <v>124</v>
      </c>
      <c r="B126" s="1" t="s">
        <v>617</v>
      </c>
      <c r="C126" s="7">
        <v>2411.7329354466819</v>
      </c>
      <c r="E126" s="1">
        <v>124</v>
      </c>
      <c r="F126" s="1" t="s">
        <v>602</v>
      </c>
      <c r="G126" s="7">
        <v>154.69999999999999</v>
      </c>
    </row>
    <row r="127" spans="1:7" x14ac:dyDescent="0.25">
      <c r="A127" s="1">
        <v>125</v>
      </c>
      <c r="B127" s="1" t="s">
        <v>592</v>
      </c>
      <c r="C127" s="7">
        <v>2400.8360221657854</v>
      </c>
      <c r="E127" s="1">
        <v>125</v>
      </c>
      <c r="F127" s="1" t="s">
        <v>114</v>
      </c>
      <c r="G127" s="7">
        <v>140.14770111204632</v>
      </c>
    </row>
    <row r="128" spans="1:7" x14ac:dyDescent="0.25">
      <c r="A128" s="1">
        <v>126</v>
      </c>
      <c r="B128" s="1" t="s">
        <v>501</v>
      </c>
      <c r="C128" s="7">
        <v>2394.6588437084774</v>
      </c>
      <c r="E128" s="1">
        <v>126</v>
      </c>
      <c r="F128" s="1" t="s">
        <v>209</v>
      </c>
      <c r="G128" s="7">
        <v>128.14770111204632</v>
      </c>
    </row>
    <row r="129" spans="1:7" x14ac:dyDescent="0.25">
      <c r="A129" s="1">
        <v>127</v>
      </c>
      <c r="B129" s="1" t="s">
        <v>216</v>
      </c>
      <c r="C129" s="7">
        <v>2391.3625405509001</v>
      </c>
      <c r="E129" s="1">
        <v>127</v>
      </c>
      <c r="F129" s="1" t="s">
        <v>231</v>
      </c>
      <c r="G129" s="7">
        <v>127.64925129402306</v>
      </c>
    </row>
    <row r="130" spans="1:7" x14ac:dyDescent="0.25">
      <c r="A130" s="1">
        <v>128</v>
      </c>
      <c r="B130" s="1" t="s">
        <v>505</v>
      </c>
      <c r="C130" s="7">
        <v>2375.5</v>
      </c>
      <c r="E130" s="1">
        <v>128</v>
      </c>
      <c r="F130" s="1" t="s">
        <v>598</v>
      </c>
      <c r="G130" s="7">
        <v>127.64925129402306</v>
      </c>
    </row>
    <row r="131" spans="1:7" x14ac:dyDescent="0.25">
      <c r="A131" s="1">
        <v>129</v>
      </c>
      <c r="B131" s="1" t="s">
        <v>114</v>
      </c>
      <c r="C131" s="7">
        <v>2375.2010461111317</v>
      </c>
      <c r="E131" s="1">
        <v>129</v>
      </c>
      <c r="F131" s="1" t="s">
        <v>629</v>
      </c>
      <c r="G131" s="7">
        <v>127.64925129402306</v>
      </c>
    </row>
    <row r="132" spans="1:7" x14ac:dyDescent="0.25">
      <c r="A132" s="1">
        <v>130</v>
      </c>
      <c r="B132" s="1" t="s">
        <v>576</v>
      </c>
      <c r="C132" s="7">
        <v>2372.1467678995768</v>
      </c>
      <c r="E132" s="1">
        <v>130</v>
      </c>
      <c r="F132" s="1" t="s">
        <v>610</v>
      </c>
      <c r="G132" s="7">
        <v>108</v>
      </c>
    </row>
    <row r="133" spans="1:7" x14ac:dyDescent="0.25">
      <c r="A133" s="1">
        <v>131</v>
      </c>
      <c r="B133" s="1" t="s">
        <v>585</v>
      </c>
      <c r="C133" s="7">
        <v>2367.6</v>
      </c>
      <c r="E133" s="1">
        <v>131</v>
      </c>
      <c r="F133" s="1" t="s">
        <v>588</v>
      </c>
      <c r="G133" s="7">
        <v>108</v>
      </c>
    </row>
    <row r="134" spans="1:7" x14ac:dyDescent="0.25">
      <c r="A134" s="1">
        <v>132</v>
      </c>
      <c r="B134" s="1" t="s">
        <v>570</v>
      </c>
      <c r="C134" s="7">
        <v>2361.1385055602318</v>
      </c>
      <c r="E134" s="1">
        <v>132</v>
      </c>
      <c r="F134" s="1" t="s">
        <v>591</v>
      </c>
      <c r="G134" s="7">
        <v>108</v>
      </c>
    </row>
    <row r="135" spans="1:7" x14ac:dyDescent="0.25">
      <c r="A135" s="1">
        <v>133</v>
      </c>
      <c r="B135" s="1" t="s">
        <v>233</v>
      </c>
      <c r="C135" s="7">
        <v>2359.1</v>
      </c>
      <c r="E135" s="1">
        <v>133</v>
      </c>
      <c r="F135" s="1" t="s">
        <v>201</v>
      </c>
      <c r="G135" s="7">
        <v>108</v>
      </c>
    </row>
    <row r="136" spans="1:7" x14ac:dyDescent="0.25">
      <c r="A136" s="1">
        <v>134</v>
      </c>
      <c r="B136" s="1" t="s">
        <v>615</v>
      </c>
      <c r="C136" s="7">
        <v>2355.9</v>
      </c>
      <c r="E136" s="1">
        <v>134</v>
      </c>
      <c r="F136" s="1" t="s">
        <v>582</v>
      </c>
      <c r="G136" s="7">
        <v>108</v>
      </c>
    </row>
    <row r="137" spans="1:7" x14ac:dyDescent="0.25">
      <c r="A137" s="1">
        <v>135</v>
      </c>
      <c r="B137" s="1" t="s">
        <v>241</v>
      </c>
      <c r="C137" s="7">
        <v>2314.7559412968326</v>
      </c>
      <c r="E137" s="1">
        <v>135</v>
      </c>
      <c r="F137" s="1" t="s">
        <v>518</v>
      </c>
      <c r="G137" s="7">
        <v>108</v>
      </c>
    </row>
    <row r="138" spans="1:7" x14ac:dyDescent="0.25">
      <c r="A138" s="1">
        <v>136</v>
      </c>
      <c r="B138" s="1" t="s">
        <v>612</v>
      </c>
      <c r="C138" s="7">
        <v>2298.1999999999998</v>
      </c>
      <c r="E138" s="1">
        <v>136</v>
      </c>
      <c r="F138" s="1" t="s">
        <v>563</v>
      </c>
      <c r="G138" s="7">
        <v>108</v>
      </c>
    </row>
    <row r="139" spans="1:7" x14ac:dyDescent="0.25">
      <c r="A139" s="1">
        <v>137</v>
      </c>
      <c r="B139" s="1" t="s">
        <v>634</v>
      </c>
      <c r="C139" s="7">
        <v>2293.2588147428964</v>
      </c>
      <c r="E139" s="1">
        <v>137</v>
      </c>
      <c r="F139" s="1" t="s">
        <v>536</v>
      </c>
      <c r="G139" s="7">
        <v>108</v>
      </c>
    </row>
    <row r="140" spans="1:7" x14ac:dyDescent="0.25">
      <c r="A140" s="1">
        <v>138</v>
      </c>
      <c r="B140" s="1" t="s">
        <v>623</v>
      </c>
      <c r="C140" s="7">
        <v>2288.2999999999997</v>
      </c>
      <c r="E140" s="1">
        <v>138</v>
      </c>
      <c r="F140" s="1" t="s">
        <v>411</v>
      </c>
      <c r="G140" s="7">
        <v>108</v>
      </c>
    </row>
    <row r="141" spans="1:7" x14ac:dyDescent="0.25">
      <c r="A141" s="1">
        <v>139</v>
      </c>
      <c r="B141" s="1" t="s">
        <v>117</v>
      </c>
      <c r="C141" s="7">
        <v>2282.7138563107487</v>
      </c>
      <c r="E141" s="1">
        <v>139</v>
      </c>
      <c r="F141" s="1" t="s">
        <v>566</v>
      </c>
      <c r="G141" s="7">
        <v>108</v>
      </c>
    </row>
    <row r="142" spans="1:7" x14ac:dyDescent="0.25">
      <c r="A142" s="1">
        <v>140</v>
      </c>
      <c r="B142" s="1" t="s">
        <v>525</v>
      </c>
      <c r="C142" s="7">
        <v>2282.4417824486277</v>
      </c>
      <c r="E142" s="1">
        <v>140</v>
      </c>
      <c r="F142" s="1" t="s">
        <v>609</v>
      </c>
      <c r="G142" s="7">
        <v>108</v>
      </c>
    </row>
    <row r="143" spans="1:7" x14ac:dyDescent="0.25">
      <c r="A143" s="1">
        <v>141</v>
      </c>
      <c r="B143" s="1" t="s">
        <v>278</v>
      </c>
      <c r="C143" s="7">
        <v>2276.5999999999995</v>
      </c>
      <c r="E143" s="1">
        <v>141</v>
      </c>
      <c r="F143" s="1" t="s">
        <v>640</v>
      </c>
      <c r="G143" s="7">
        <v>108</v>
      </c>
    </row>
    <row r="144" spans="1:7" x14ac:dyDescent="0.25">
      <c r="A144" s="1">
        <v>142</v>
      </c>
      <c r="B144" s="1" t="s">
        <v>224</v>
      </c>
      <c r="C144" s="7">
        <v>2274.6999999999998</v>
      </c>
      <c r="E144" s="1">
        <v>142</v>
      </c>
      <c r="F144" s="1" t="s">
        <v>552</v>
      </c>
      <c r="G144" s="7">
        <v>108</v>
      </c>
    </row>
    <row r="145" spans="1:7" x14ac:dyDescent="0.25">
      <c r="A145" s="1">
        <v>143</v>
      </c>
      <c r="B145" s="1" t="s">
        <v>621</v>
      </c>
      <c r="C145" s="7">
        <v>2262.181950145633</v>
      </c>
      <c r="E145" s="1">
        <v>143</v>
      </c>
      <c r="F145" s="1" t="s">
        <v>557</v>
      </c>
      <c r="G145" s="7">
        <v>108</v>
      </c>
    </row>
    <row r="146" spans="1:7" x14ac:dyDescent="0.25">
      <c r="A146" s="1">
        <v>144</v>
      </c>
      <c r="B146" s="1" t="s">
        <v>580</v>
      </c>
      <c r="C146" s="7">
        <v>2260.5213064940881</v>
      </c>
      <c r="E146" s="1">
        <v>144</v>
      </c>
      <c r="F146" s="1" t="s">
        <v>439</v>
      </c>
      <c r="G146" s="7">
        <v>108</v>
      </c>
    </row>
    <row r="147" spans="1:7" x14ac:dyDescent="0.25">
      <c r="A147" s="1">
        <v>145</v>
      </c>
      <c r="B147" s="1" t="s">
        <v>613</v>
      </c>
      <c r="C147" s="7">
        <v>2201.1957779863628</v>
      </c>
      <c r="E147" s="1">
        <v>145</v>
      </c>
      <c r="F147" s="1" t="s">
        <v>568</v>
      </c>
      <c r="G147" s="7">
        <v>108</v>
      </c>
    </row>
    <row r="148" spans="1:7" x14ac:dyDescent="0.25">
      <c r="A148" s="1">
        <v>146</v>
      </c>
      <c r="B148" s="1" t="s">
        <v>517</v>
      </c>
      <c r="C148" s="7">
        <v>2187.5385055602319</v>
      </c>
      <c r="E148" s="1">
        <v>146</v>
      </c>
      <c r="F148" s="1" t="s">
        <v>574</v>
      </c>
      <c r="G148" s="7">
        <v>108</v>
      </c>
    </row>
    <row r="149" spans="1:7" x14ac:dyDescent="0.25">
      <c r="A149" s="1">
        <v>147</v>
      </c>
      <c r="B149" s="1" t="s">
        <v>276</v>
      </c>
      <c r="C149" s="7">
        <v>2181.8000000000002</v>
      </c>
      <c r="E149" s="1">
        <v>147</v>
      </c>
      <c r="F149" s="1" t="s">
        <v>155</v>
      </c>
      <c r="G149" s="7">
        <v>108</v>
      </c>
    </row>
    <row r="150" spans="1:7" x14ac:dyDescent="0.25">
      <c r="A150" s="1">
        <v>148</v>
      </c>
      <c r="B150" s="1" t="s">
        <v>609</v>
      </c>
      <c r="C150" s="7">
        <v>2179.0160289770411</v>
      </c>
      <c r="E150" s="1">
        <v>148</v>
      </c>
      <c r="F150" s="1" t="s">
        <v>0</v>
      </c>
      <c r="G150" s="7">
        <v>108</v>
      </c>
    </row>
    <row r="151" spans="1:7" x14ac:dyDescent="0.25">
      <c r="A151" s="1">
        <v>149</v>
      </c>
      <c r="B151" s="1" t="s">
        <v>229</v>
      </c>
      <c r="C151" s="7">
        <v>2175.8253503734495</v>
      </c>
      <c r="E151" s="1">
        <v>149</v>
      </c>
      <c r="F151" s="1" t="s">
        <v>496</v>
      </c>
      <c r="G151" s="7">
        <v>108</v>
      </c>
    </row>
    <row r="152" spans="1:7" x14ac:dyDescent="0.25">
      <c r="A152" s="1">
        <v>150</v>
      </c>
      <c r="B152" s="1" t="s">
        <v>554</v>
      </c>
      <c r="C152" s="7">
        <v>2166.425350373449</v>
      </c>
      <c r="E152" s="1">
        <v>150</v>
      </c>
      <c r="F152" s="1" t="s">
        <v>531</v>
      </c>
      <c r="G152" s="7">
        <v>108</v>
      </c>
    </row>
    <row r="153" spans="1:7" x14ac:dyDescent="0.25">
      <c r="A153" s="1">
        <v>151</v>
      </c>
      <c r="B153" s="1" t="s">
        <v>375</v>
      </c>
      <c r="C153" s="7">
        <v>2160.2957779863627</v>
      </c>
      <c r="E153" s="1">
        <v>151</v>
      </c>
      <c r="F153" s="1" t="s">
        <v>474</v>
      </c>
      <c r="G153" s="7">
        <v>108</v>
      </c>
    </row>
    <row r="154" spans="1:7" x14ac:dyDescent="0.25">
      <c r="A154" s="1">
        <v>152</v>
      </c>
      <c r="B154" s="1" t="s">
        <v>292</v>
      </c>
      <c r="C154" s="7">
        <v>2148.4417824486277</v>
      </c>
      <c r="E154" s="1">
        <v>152</v>
      </c>
      <c r="F154" s="1" t="s">
        <v>615</v>
      </c>
      <c r="G154" s="7">
        <v>108</v>
      </c>
    </row>
    <row r="155" spans="1:7" x14ac:dyDescent="0.25">
      <c r="A155" s="1">
        <v>153</v>
      </c>
      <c r="B155" s="1" t="s">
        <v>474</v>
      </c>
      <c r="C155" s="7">
        <v>2141.5213064940876</v>
      </c>
      <c r="E155" s="1">
        <v>153</v>
      </c>
      <c r="F155" s="1" t="s">
        <v>213</v>
      </c>
      <c r="G155" s="7">
        <v>108</v>
      </c>
    </row>
    <row r="156" spans="1:7" x14ac:dyDescent="0.25">
      <c r="A156" s="1">
        <v>154</v>
      </c>
      <c r="B156" s="1" t="s">
        <v>558</v>
      </c>
      <c r="C156" s="7">
        <v>2136.6293100084167</v>
      </c>
      <c r="E156" s="1">
        <v>154</v>
      </c>
      <c r="F156" s="1" t="s">
        <v>549</v>
      </c>
      <c r="G156" s="7">
        <v>108</v>
      </c>
    </row>
    <row r="157" spans="1:7" x14ac:dyDescent="0.25">
      <c r="A157" s="1">
        <v>155</v>
      </c>
      <c r="B157" s="1" t="s">
        <v>230</v>
      </c>
      <c r="C157" s="7">
        <v>2131.7200728564026</v>
      </c>
      <c r="E157" s="1">
        <v>155</v>
      </c>
      <c r="F157" s="1" t="s">
        <v>375</v>
      </c>
      <c r="G157" s="7">
        <v>108</v>
      </c>
    </row>
    <row r="158" spans="1:7" x14ac:dyDescent="0.25">
      <c r="A158" s="1">
        <v>156</v>
      </c>
      <c r="B158" s="1" t="s">
        <v>503</v>
      </c>
      <c r="C158" s="7">
        <v>2125.4375604349898</v>
      </c>
      <c r="E158" s="1">
        <v>156</v>
      </c>
      <c r="F158" s="1" t="s">
        <v>505</v>
      </c>
      <c r="G158" s="7">
        <v>108</v>
      </c>
    </row>
    <row r="159" spans="1:7" x14ac:dyDescent="0.25">
      <c r="A159" s="1">
        <v>157</v>
      </c>
      <c r="B159" s="1" t="s">
        <v>215</v>
      </c>
      <c r="C159" s="7">
        <v>2112.3947224829535</v>
      </c>
      <c r="E159" s="1">
        <v>157</v>
      </c>
      <c r="F159" s="1" t="s">
        <v>637</v>
      </c>
      <c r="G159" s="7">
        <v>108</v>
      </c>
    </row>
    <row r="160" spans="1:7" x14ac:dyDescent="0.25">
      <c r="A160" s="1">
        <v>158</v>
      </c>
      <c r="B160" s="1" t="s">
        <v>547</v>
      </c>
      <c r="C160" s="7">
        <v>2099.9</v>
      </c>
      <c r="E160" s="1">
        <v>158</v>
      </c>
      <c r="F160" s="1" t="s">
        <v>575</v>
      </c>
      <c r="G160" s="7">
        <v>108</v>
      </c>
    </row>
    <row r="161" spans="1:7" x14ac:dyDescent="0.25">
      <c r="A161" s="1">
        <v>159</v>
      </c>
      <c r="B161" s="1" t="s">
        <v>494</v>
      </c>
      <c r="C161" s="7">
        <v>2098.3841651163457</v>
      </c>
      <c r="E161" s="1">
        <v>159</v>
      </c>
      <c r="F161" s="1" t="s">
        <v>240</v>
      </c>
      <c r="G161" s="7">
        <v>108</v>
      </c>
    </row>
    <row r="162" spans="1:7" x14ac:dyDescent="0.25">
      <c r="A162" s="1">
        <v>160</v>
      </c>
      <c r="B162" s="1" t="s">
        <v>439</v>
      </c>
      <c r="C162" s="7">
        <v>2096.3999999999996</v>
      </c>
      <c r="E162" s="1">
        <v>160</v>
      </c>
      <c r="F162" s="1" t="s">
        <v>472</v>
      </c>
      <c r="G162" s="7">
        <v>108</v>
      </c>
    </row>
    <row r="163" spans="1:7" x14ac:dyDescent="0.25">
      <c r="A163" s="1">
        <v>161</v>
      </c>
      <c r="B163" s="1" t="s">
        <v>637</v>
      </c>
      <c r="C163" s="7">
        <v>2082.4466568675371</v>
      </c>
      <c r="E163" s="1">
        <v>161</v>
      </c>
      <c r="F163" s="1" t="s">
        <v>558</v>
      </c>
      <c r="G163" s="7">
        <v>108</v>
      </c>
    </row>
    <row r="164" spans="1:7" x14ac:dyDescent="0.25">
      <c r="A164" s="1">
        <v>162</v>
      </c>
      <c r="B164" s="1" t="s">
        <v>527</v>
      </c>
      <c r="C164" s="7">
        <v>2077.9947224829534</v>
      </c>
      <c r="E164" s="1">
        <v>162</v>
      </c>
      <c r="F164" s="1" t="s">
        <v>469</v>
      </c>
      <c r="G164" s="7">
        <v>108</v>
      </c>
    </row>
    <row r="165" spans="1:7" x14ac:dyDescent="0.25">
      <c r="A165" s="1">
        <v>163</v>
      </c>
      <c r="B165" s="1" t="s">
        <v>549</v>
      </c>
      <c r="C165" s="7">
        <v>2073.5778796238983</v>
      </c>
      <c r="E165" s="1">
        <v>163</v>
      </c>
      <c r="F165" s="1" t="s">
        <v>252</v>
      </c>
      <c r="G165" s="7">
        <v>108</v>
      </c>
    </row>
    <row r="166" spans="1:7" x14ac:dyDescent="0.25">
      <c r="A166" s="1">
        <v>164</v>
      </c>
      <c r="B166" s="1" t="s">
        <v>532</v>
      </c>
      <c r="C166" s="7">
        <v>2067.8000000000002</v>
      </c>
      <c r="E166" s="1">
        <v>164</v>
      </c>
      <c r="F166" s="1" t="s">
        <v>234</v>
      </c>
      <c r="G166" s="7">
        <v>108</v>
      </c>
    </row>
    <row r="167" spans="1:7" x14ac:dyDescent="0.25">
      <c r="A167" s="1">
        <v>165</v>
      </c>
      <c r="B167" s="1" t="s">
        <v>633</v>
      </c>
      <c r="C167" s="7">
        <v>2061.9865730422707</v>
      </c>
      <c r="E167" s="1">
        <v>165</v>
      </c>
      <c r="F167" s="1" t="s">
        <v>603</v>
      </c>
      <c r="G167" s="7">
        <v>108</v>
      </c>
    </row>
    <row r="168" spans="1:7" x14ac:dyDescent="0.25">
      <c r="A168" s="1">
        <v>166</v>
      </c>
      <c r="B168" s="1" t="s">
        <v>606</v>
      </c>
      <c r="C168" s="7">
        <v>2053.6000000000004</v>
      </c>
      <c r="E168" s="1">
        <v>166</v>
      </c>
      <c r="F168" s="1" t="s">
        <v>504</v>
      </c>
      <c r="G168" s="7">
        <v>108</v>
      </c>
    </row>
    <row r="169" spans="1:7" x14ac:dyDescent="0.25">
      <c r="A169" s="1">
        <v>167</v>
      </c>
      <c r="B169" s="1" t="s">
        <v>566</v>
      </c>
      <c r="C169" s="7">
        <v>2020.3466568675371</v>
      </c>
      <c r="E169" s="1">
        <v>167</v>
      </c>
      <c r="F169" s="1" t="s">
        <v>620</v>
      </c>
      <c r="G169" s="7">
        <v>108</v>
      </c>
    </row>
    <row r="170" spans="1:7" x14ac:dyDescent="0.25">
      <c r="A170" s="1">
        <v>168</v>
      </c>
      <c r="B170" s="1" t="s">
        <v>282</v>
      </c>
      <c r="C170" s="7">
        <v>2017.5778796238985</v>
      </c>
      <c r="E170" s="1">
        <v>168</v>
      </c>
      <c r="F170" s="1" t="s">
        <v>627</v>
      </c>
      <c r="G170" s="7">
        <v>108</v>
      </c>
    </row>
    <row r="171" spans="1:7" x14ac:dyDescent="0.25">
      <c r="A171" s="1">
        <v>169</v>
      </c>
      <c r="B171" s="1" t="s">
        <v>475</v>
      </c>
      <c r="C171" s="7">
        <v>2001.1253503734492</v>
      </c>
      <c r="E171" s="1">
        <v>169</v>
      </c>
      <c r="F171" s="1" t="s">
        <v>503</v>
      </c>
      <c r="G171" s="7">
        <v>96</v>
      </c>
    </row>
    <row r="172" spans="1:7" x14ac:dyDescent="0.25">
      <c r="A172" s="1">
        <v>170</v>
      </c>
      <c r="B172" s="1" t="s">
        <v>483</v>
      </c>
      <c r="C172" s="7">
        <v>1927.8417824486273</v>
      </c>
      <c r="E172" s="1">
        <v>170</v>
      </c>
      <c r="F172" s="1" t="s">
        <v>223</v>
      </c>
      <c r="G172" s="7">
        <v>96</v>
      </c>
    </row>
    <row r="173" spans="1:7" x14ac:dyDescent="0.25">
      <c r="A173" s="1">
        <v>171</v>
      </c>
      <c r="B173" s="1" t="s">
        <v>391</v>
      </c>
      <c r="C173" s="7">
        <v>1918.2625405509</v>
      </c>
      <c r="E173" s="1">
        <v>171</v>
      </c>
      <c r="F173" s="1" t="s">
        <v>113</v>
      </c>
      <c r="G173" s="7">
        <v>96</v>
      </c>
    </row>
    <row r="174" spans="1:7" x14ac:dyDescent="0.25">
      <c r="A174" s="1">
        <v>172</v>
      </c>
      <c r="B174" s="1" t="s">
        <v>600</v>
      </c>
      <c r="C174" s="7">
        <v>1908.3947224829533</v>
      </c>
      <c r="E174" s="1">
        <v>172</v>
      </c>
      <c r="F174" s="1" t="s">
        <v>596</v>
      </c>
      <c r="G174" s="7">
        <v>96</v>
      </c>
    </row>
    <row r="175" spans="1:7" x14ac:dyDescent="0.25">
      <c r="A175" s="1">
        <v>173</v>
      </c>
      <c r="B175" s="1" t="s">
        <v>472</v>
      </c>
      <c r="C175" s="7">
        <v>1906.8000000000002</v>
      </c>
      <c r="E175" s="1">
        <v>173</v>
      </c>
      <c r="F175" s="1" t="s">
        <v>211</v>
      </c>
      <c r="G175" s="7">
        <v>96</v>
      </c>
    </row>
    <row r="176" spans="1:7" x14ac:dyDescent="0.25">
      <c r="A176" s="1">
        <v>174</v>
      </c>
      <c r="B176" s="1" t="s">
        <v>526</v>
      </c>
      <c r="C176" s="7">
        <v>1872.8000000000002</v>
      </c>
      <c r="E176" s="1">
        <v>174</v>
      </c>
      <c r="F176" s="1" t="s">
        <v>202</v>
      </c>
      <c r="G176" s="7">
        <v>96</v>
      </c>
    </row>
    <row r="177" spans="1:7" x14ac:dyDescent="0.25">
      <c r="A177" s="1">
        <v>175</v>
      </c>
      <c r="B177" s="1" t="s">
        <v>240</v>
      </c>
      <c r="C177" s="7">
        <v>1863.1</v>
      </c>
      <c r="E177" s="1">
        <v>175</v>
      </c>
      <c r="F177" s="1" t="s">
        <v>570</v>
      </c>
      <c r="G177" s="7">
        <v>32.147701112046306</v>
      </c>
    </row>
    <row r="178" spans="1:7" x14ac:dyDescent="0.25">
      <c r="A178" s="1">
        <v>176</v>
      </c>
      <c r="B178" s="1" t="s">
        <v>598</v>
      </c>
      <c r="C178" s="7">
        <v>1836.4753609193772</v>
      </c>
      <c r="E178" s="1">
        <v>176</v>
      </c>
      <c r="F178" s="1" t="s">
        <v>512</v>
      </c>
      <c r="G178" s="7">
        <v>32.147701112046306</v>
      </c>
    </row>
    <row r="179" spans="1:7" x14ac:dyDescent="0.25">
      <c r="A179" s="1">
        <v>177</v>
      </c>
      <c r="B179" s="1" t="s">
        <v>625</v>
      </c>
      <c r="C179" s="7">
        <v>1829.3154400588887</v>
      </c>
      <c r="E179" s="1">
        <v>177</v>
      </c>
      <c r="F179" s="1" t="s">
        <v>228</v>
      </c>
      <c r="G179" s="7">
        <v>32.147701112046306</v>
      </c>
    </row>
    <row r="180" spans="1:7" x14ac:dyDescent="0.25">
      <c r="A180" s="1">
        <v>178</v>
      </c>
      <c r="B180" s="1" t="s">
        <v>597</v>
      </c>
      <c r="C180" s="7">
        <v>1815.4947224829534</v>
      </c>
      <c r="E180" s="1">
        <v>178</v>
      </c>
      <c r="F180" s="1" t="s">
        <v>529</v>
      </c>
      <c r="G180" s="7">
        <v>32.147701112046306</v>
      </c>
    </row>
    <row r="181" spans="1:7" x14ac:dyDescent="0.25">
      <c r="A181" s="1">
        <v>179</v>
      </c>
      <c r="B181" s="1" t="s">
        <v>112</v>
      </c>
      <c r="C181" s="7">
        <v>1808.1000000000001</v>
      </c>
      <c r="E181" s="1">
        <v>179</v>
      </c>
      <c r="F181" s="1" t="s">
        <v>537</v>
      </c>
      <c r="G181" s="7">
        <v>0</v>
      </c>
    </row>
    <row r="182" spans="1:7" x14ac:dyDescent="0.25">
      <c r="A182" s="1">
        <v>180</v>
      </c>
      <c r="B182" s="1" t="s">
        <v>322</v>
      </c>
      <c r="C182" s="7">
        <v>1773.1582858201307</v>
      </c>
      <c r="E182" s="1">
        <v>180</v>
      </c>
      <c r="F182" s="1" t="s">
        <v>509</v>
      </c>
      <c r="G182" s="7">
        <v>0</v>
      </c>
    </row>
    <row r="183" spans="1:7" x14ac:dyDescent="0.25">
      <c r="A183" s="1">
        <v>181</v>
      </c>
      <c r="B183" s="1" t="s">
        <v>608</v>
      </c>
      <c r="C183" s="7">
        <v>1761.7417824486274</v>
      </c>
      <c r="E183" s="1">
        <v>181</v>
      </c>
      <c r="F183" s="1" t="s">
        <v>623</v>
      </c>
      <c r="G183" s="7">
        <v>0</v>
      </c>
    </row>
    <row r="184" spans="1:7" x14ac:dyDescent="0.25">
      <c r="A184" s="1">
        <v>182</v>
      </c>
      <c r="B184" s="1" t="s">
        <v>225</v>
      </c>
      <c r="C184" s="7">
        <v>1756.8000000000002</v>
      </c>
      <c r="E184" s="1">
        <v>182</v>
      </c>
      <c r="F184" s="1" t="s">
        <v>276</v>
      </c>
      <c r="G184" s="7">
        <v>0</v>
      </c>
    </row>
    <row r="185" spans="1:7" x14ac:dyDescent="0.25">
      <c r="A185" s="1">
        <v>183</v>
      </c>
      <c r="B185" s="1" t="s">
        <v>411</v>
      </c>
      <c r="C185" s="7">
        <v>1755.9</v>
      </c>
      <c r="E185" s="1">
        <v>183</v>
      </c>
      <c r="F185" s="1" t="s">
        <v>621</v>
      </c>
      <c r="G185" s="7">
        <v>0</v>
      </c>
    </row>
    <row r="186" spans="1:7" x14ac:dyDescent="0.25">
      <c r="A186" s="1">
        <v>184</v>
      </c>
      <c r="B186" s="1" t="s">
        <v>561</v>
      </c>
      <c r="C186" s="7">
        <v>1752</v>
      </c>
      <c r="E186" s="1">
        <v>184</v>
      </c>
      <c r="F186" s="1" t="s">
        <v>257</v>
      </c>
      <c r="G186" s="7">
        <v>0</v>
      </c>
    </row>
    <row r="187" spans="1:7" x14ac:dyDescent="0.25">
      <c r="A187" s="1">
        <v>185</v>
      </c>
      <c r="B187" s="1" t="s">
        <v>383</v>
      </c>
      <c r="C187" s="7">
        <v>1746.621306494088</v>
      </c>
      <c r="E187" s="1">
        <v>185</v>
      </c>
      <c r="F187" s="1" t="s">
        <v>631</v>
      </c>
      <c r="G187" s="7">
        <v>0</v>
      </c>
    </row>
    <row r="188" spans="1:7" x14ac:dyDescent="0.25">
      <c r="A188" s="1">
        <v>186</v>
      </c>
      <c r="B188" s="1" t="s">
        <v>256</v>
      </c>
      <c r="C188" s="7">
        <v>1743.5925498166612</v>
      </c>
      <c r="E188" s="1">
        <v>186</v>
      </c>
      <c r="F188" s="1" t="s">
        <v>580</v>
      </c>
      <c r="G188" s="7">
        <v>0</v>
      </c>
    </row>
    <row r="189" spans="1:7" x14ac:dyDescent="0.25">
      <c r="A189" s="1">
        <v>187</v>
      </c>
      <c r="B189" s="1" t="s">
        <v>641</v>
      </c>
      <c r="C189" s="7">
        <v>1741.3253503734495</v>
      </c>
      <c r="E189" s="1">
        <v>187</v>
      </c>
      <c r="F189" s="1" t="s">
        <v>539</v>
      </c>
      <c r="G189" s="7">
        <v>0</v>
      </c>
    </row>
    <row r="190" spans="1:7" x14ac:dyDescent="0.25">
      <c r="A190" s="1">
        <v>188</v>
      </c>
      <c r="B190" s="1" t="s">
        <v>473</v>
      </c>
      <c r="C190" s="7">
        <v>1733.9417824486272</v>
      </c>
      <c r="E190" s="1">
        <v>188</v>
      </c>
      <c r="F190" s="1" t="s">
        <v>497</v>
      </c>
      <c r="G190" s="7">
        <v>0</v>
      </c>
    </row>
    <row r="191" spans="1:7" x14ac:dyDescent="0.25">
      <c r="A191" s="1">
        <v>189</v>
      </c>
      <c r="B191" s="1" t="s">
        <v>616</v>
      </c>
      <c r="C191" s="7">
        <v>1729.2877568542547</v>
      </c>
      <c r="E191" s="1">
        <v>189</v>
      </c>
      <c r="F191" s="1" t="s">
        <v>625</v>
      </c>
      <c r="G191" s="7">
        <v>0</v>
      </c>
    </row>
    <row r="192" spans="1:7" x14ac:dyDescent="0.25">
      <c r="A192" s="1">
        <v>190</v>
      </c>
      <c r="B192" s="1" t="s">
        <v>564</v>
      </c>
      <c r="C192" s="7">
        <v>1719.9</v>
      </c>
      <c r="E192" s="1">
        <v>190</v>
      </c>
      <c r="F192" s="1" t="s">
        <v>548</v>
      </c>
      <c r="G192" s="7">
        <v>0</v>
      </c>
    </row>
    <row r="193" spans="1:7" x14ac:dyDescent="0.25">
      <c r="A193" s="1">
        <v>191</v>
      </c>
      <c r="B193" s="1" t="s">
        <v>603</v>
      </c>
      <c r="C193" s="7">
        <v>1701.7</v>
      </c>
      <c r="E193" s="1">
        <v>191</v>
      </c>
      <c r="F193" s="1" t="s">
        <v>513</v>
      </c>
      <c r="G193" s="7">
        <v>0</v>
      </c>
    </row>
    <row r="194" spans="1:7" x14ac:dyDescent="0.25">
      <c r="A194" s="1">
        <v>192</v>
      </c>
      <c r="B194" s="1" t="s">
        <v>521</v>
      </c>
      <c r="C194" s="7">
        <v>1695.9999999999998</v>
      </c>
      <c r="E194" s="1">
        <v>192</v>
      </c>
      <c r="F194" s="1" t="s">
        <v>524</v>
      </c>
      <c r="G194" s="7">
        <v>0</v>
      </c>
    </row>
    <row r="195" spans="1:7" x14ac:dyDescent="0.25">
      <c r="A195" s="1">
        <v>193</v>
      </c>
      <c r="B195" s="1" t="s">
        <v>581</v>
      </c>
      <c r="C195" s="7">
        <v>1687.6293100084167</v>
      </c>
      <c r="E195" s="1">
        <v>193</v>
      </c>
      <c r="F195" s="1" t="s">
        <v>516</v>
      </c>
      <c r="G195" s="7">
        <v>0</v>
      </c>
    </row>
    <row r="196" spans="1:7" x14ac:dyDescent="0.25">
      <c r="A196" s="1">
        <v>194</v>
      </c>
      <c r="B196" s="1" t="s">
        <v>495</v>
      </c>
      <c r="C196" s="7">
        <v>1680.8630889427154</v>
      </c>
      <c r="E196" s="1">
        <v>194</v>
      </c>
      <c r="F196" s="1" t="s">
        <v>618</v>
      </c>
      <c r="G196" s="7">
        <v>0</v>
      </c>
    </row>
    <row r="197" spans="1:7" x14ac:dyDescent="0.25">
      <c r="A197" s="1">
        <v>195</v>
      </c>
      <c r="B197" s="1" t="s">
        <v>9</v>
      </c>
      <c r="C197" s="7">
        <v>1678.0506165025047</v>
      </c>
      <c r="E197" s="1">
        <v>195</v>
      </c>
      <c r="F197" s="1" t="s">
        <v>514</v>
      </c>
      <c r="G197" s="7">
        <v>0</v>
      </c>
    </row>
    <row r="198" spans="1:7" x14ac:dyDescent="0.25">
      <c r="A198" s="1">
        <v>196</v>
      </c>
      <c r="B198" s="1" t="s">
        <v>250</v>
      </c>
      <c r="C198" s="7">
        <v>1675.0778796238983</v>
      </c>
      <c r="E198" s="1">
        <v>196</v>
      </c>
      <c r="F198" s="1" t="s">
        <v>636</v>
      </c>
      <c r="G198" s="7">
        <v>0</v>
      </c>
    </row>
    <row r="199" spans="1:7" x14ac:dyDescent="0.25">
      <c r="A199" s="1">
        <v>197</v>
      </c>
      <c r="B199" s="1" t="s">
        <v>462</v>
      </c>
      <c r="C199" s="7">
        <v>1670.6266617764236</v>
      </c>
      <c r="E199" s="1">
        <v>197</v>
      </c>
      <c r="F199" s="1" t="s">
        <v>606</v>
      </c>
      <c r="G199" s="7">
        <v>0</v>
      </c>
    </row>
    <row r="200" spans="1:7" x14ac:dyDescent="0.25">
      <c r="A200" s="1">
        <v>198</v>
      </c>
      <c r="B200" s="1" t="s">
        <v>479</v>
      </c>
      <c r="C200" s="7">
        <v>1648.4213064940877</v>
      </c>
      <c r="E200" s="1">
        <v>198</v>
      </c>
      <c r="F200" s="1" t="s">
        <v>292</v>
      </c>
      <c r="G200" s="7">
        <v>0</v>
      </c>
    </row>
    <row r="201" spans="1:7" x14ac:dyDescent="0.25">
      <c r="A201" s="1">
        <v>199</v>
      </c>
      <c r="B201" s="1" t="s">
        <v>506</v>
      </c>
      <c r="C201" s="7">
        <v>1630.7</v>
      </c>
      <c r="E201" s="1">
        <v>199</v>
      </c>
      <c r="F201" s="1" t="s">
        <v>278</v>
      </c>
      <c r="G201" s="7">
        <v>0</v>
      </c>
    </row>
    <row r="202" spans="1:7" x14ac:dyDescent="0.25">
      <c r="A202" s="1">
        <v>200</v>
      </c>
      <c r="B202" s="1" t="s">
        <v>279</v>
      </c>
      <c r="C202" s="7">
        <v>1630.7</v>
      </c>
      <c r="E202" s="1">
        <v>200</v>
      </c>
      <c r="F202" s="1" t="s">
        <v>282</v>
      </c>
      <c r="G202" s="7">
        <v>0</v>
      </c>
    </row>
    <row r="203" spans="1:7" x14ac:dyDescent="0.25">
      <c r="A203" s="1">
        <v>201</v>
      </c>
      <c r="B203" s="1" t="s">
        <v>298</v>
      </c>
      <c r="C203" s="7">
        <v>1625.4782866127739</v>
      </c>
      <c r="E203" s="1">
        <v>201</v>
      </c>
      <c r="F203" s="1" t="s">
        <v>612</v>
      </c>
      <c r="G203" s="7">
        <v>0</v>
      </c>
    </row>
    <row r="204" spans="1:7" x14ac:dyDescent="0.25">
      <c r="A204" s="1">
        <v>202</v>
      </c>
      <c r="B204" s="1" t="s">
        <v>464</v>
      </c>
      <c r="C204" s="7">
        <v>1624.2253503734491</v>
      </c>
      <c r="E204" s="1">
        <v>202</v>
      </c>
      <c r="F204" s="1" t="s">
        <v>611</v>
      </c>
      <c r="G204" s="7">
        <v>0</v>
      </c>
    </row>
    <row r="205" spans="1:7" x14ac:dyDescent="0.25">
      <c r="A205" s="1">
        <v>203</v>
      </c>
      <c r="B205" s="1" t="s">
        <v>528</v>
      </c>
      <c r="C205" s="7">
        <v>1606.489122062736</v>
      </c>
      <c r="E205" s="1">
        <v>203</v>
      </c>
      <c r="F205" s="1" t="s">
        <v>561</v>
      </c>
      <c r="G205" s="7">
        <v>0</v>
      </c>
    </row>
    <row r="206" spans="1:7" x14ac:dyDescent="0.25">
      <c r="A206" s="1">
        <v>204</v>
      </c>
      <c r="B206" s="1" t="s">
        <v>234</v>
      </c>
      <c r="C206" s="7">
        <v>1604.6633914801712</v>
      </c>
      <c r="E206" s="1">
        <v>204</v>
      </c>
      <c r="F206" s="1" t="s">
        <v>112</v>
      </c>
      <c r="G206" s="7">
        <v>0</v>
      </c>
    </row>
    <row r="207" spans="1:7" x14ac:dyDescent="0.25">
      <c r="A207" s="1">
        <v>205</v>
      </c>
      <c r="B207" s="1" t="s">
        <v>497</v>
      </c>
      <c r="C207" s="7">
        <v>1569.7957779863627</v>
      </c>
      <c r="E207" s="1">
        <v>205</v>
      </c>
      <c r="F207" s="1" t="s">
        <v>634</v>
      </c>
      <c r="G207" s="7">
        <v>0</v>
      </c>
    </row>
    <row r="208" spans="1:7" x14ac:dyDescent="0.25">
      <c r="A208" s="1">
        <v>206</v>
      </c>
      <c r="B208" s="1" t="s">
        <v>231</v>
      </c>
      <c r="C208" s="7">
        <v>1561.949251294023</v>
      </c>
      <c r="E208" s="1">
        <v>206</v>
      </c>
      <c r="F208" s="1" t="s">
        <v>506</v>
      </c>
      <c r="G208" s="7">
        <v>0</v>
      </c>
    </row>
    <row r="209" spans="1:7" x14ac:dyDescent="0.25">
      <c r="A209" s="1">
        <v>207</v>
      </c>
      <c r="B209" s="1" t="s">
        <v>629</v>
      </c>
      <c r="C209" s="7">
        <v>1560.3287180452096</v>
      </c>
      <c r="E209" s="1">
        <v>207</v>
      </c>
      <c r="F209" s="1" t="s">
        <v>279</v>
      </c>
      <c r="G209" s="7">
        <v>0</v>
      </c>
    </row>
    <row r="210" spans="1:7" x14ac:dyDescent="0.25">
      <c r="A210" s="1">
        <v>208</v>
      </c>
      <c r="B210" s="1" t="s">
        <v>280</v>
      </c>
      <c r="C210" s="7">
        <v>1542.5417824486276</v>
      </c>
      <c r="E210" s="1">
        <v>208</v>
      </c>
      <c r="F210" s="1" t="s">
        <v>547</v>
      </c>
      <c r="G210" s="7">
        <v>0</v>
      </c>
    </row>
    <row r="211" spans="1:7" x14ac:dyDescent="0.25">
      <c r="A211" s="1">
        <v>209</v>
      </c>
      <c r="B211" s="1" t="s">
        <v>504</v>
      </c>
      <c r="C211" s="7">
        <v>1519.6999999999998</v>
      </c>
      <c r="E211" s="1">
        <v>209</v>
      </c>
      <c r="F211" s="1" t="s">
        <v>608</v>
      </c>
      <c r="G211" s="7">
        <v>0</v>
      </c>
    </row>
    <row r="212" spans="1:7" x14ac:dyDescent="0.25">
      <c r="A212" s="1">
        <v>210</v>
      </c>
      <c r="B212" s="1" t="s">
        <v>227</v>
      </c>
      <c r="C212" s="7">
        <v>1515.7213064940875</v>
      </c>
      <c r="E212" s="1">
        <v>210</v>
      </c>
      <c r="F212" s="1" t="s">
        <v>617</v>
      </c>
      <c r="G212" s="7">
        <v>0</v>
      </c>
    </row>
    <row r="213" spans="1:7" x14ac:dyDescent="0.25">
      <c r="A213" s="1">
        <v>211</v>
      </c>
      <c r="B213" s="1" t="s">
        <v>599</v>
      </c>
      <c r="C213" s="7">
        <v>1495.9293100084167</v>
      </c>
      <c r="E213" s="1">
        <v>211</v>
      </c>
      <c r="F213" s="1" t="s">
        <v>521</v>
      </c>
      <c r="G213" s="7">
        <v>0</v>
      </c>
    </row>
    <row r="214" spans="1:7" x14ac:dyDescent="0.25">
      <c r="A214" s="1">
        <v>212</v>
      </c>
      <c r="B214" s="1" t="s">
        <v>631</v>
      </c>
      <c r="C214" s="7">
        <v>1485.6</v>
      </c>
      <c r="E214" s="1">
        <v>212</v>
      </c>
      <c r="F214" s="1" t="s">
        <v>410</v>
      </c>
      <c r="G214" s="7">
        <v>0</v>
      </c>
    </row>
    <row r="215" spans="1:7" x14ac:dyDescent="0.25">
      <c r="A215" s="1">
        <v>213</v>
      </c>
      <c r="B215" s="1" t="s">
        <v>410</v>
      </c>
      <c r="C215" s="7">
        <v>1439.421306494088</v>
      </c>
      <c r="E215" s="1">
        <v>213</v>
      </c>
      <c r="F215" s="1" t="s">
        <v>641</v>
      </c>
      <c r="G215" s="7">
        <v>0</v>
      </c>
    </row>
    <row r="216" spans="1:7" x14ac:dyDescent="0.25">
      <c r="A216" s="1">
        <v>214</v>
      </c>
      <c r="B216" s="1" t="s">
        <v>507</v>
      </c>
      <c r="C216" s="7">
        <v>1423.2293100084166</v>
      </c>
      <c r="E216" s="1">
        <v>214</v>
      </c>
      <c r="F216" s="1" t="s">
        <v>483</v>
      </c>
      <c r="G216" s="7">
        <v>0</v>
      </c>
    </row>
    <row r="217" spans="1:7" x14ac:dyDescent="0.25">
      <c r="A217" s="1">
        <v>215</v>
      </c>
      <c r="B217" s="1" t="s">
        <v>267</v>
      </c>
      <c r="C217" s="7">
        <v>1376.0417824486276</v>
      </c>
      <c r="E217" s="1">
        <v>215</v>
      </c>
      <c r="F217" s="1" t="s">
        <v>267</v>
      </c>
      <c r="G217" s="7">
        <v>0</v>
      </c>
    </row>
    <row r="218" spans="1:7" x14ac:dyDescent="0.25">
      <c r="A218" s="1">
        <v>216</v>
      </c>
      <c r="B218" s="1" t="s">
        <v>627</v>
      </c>
      <c r="C218" s="7">
        <v>1344.5778796238988</v>
      </c>
      <c r="E218" s="1">
        <v>216</v>
      </c>
      <c r="F218" s="1" t="s">
        <v>599</v>
      </c>
      <c r="G218" s="7">
        <v>0</v>
      </c>
    </row>
    <row r="219" spans="1:7" x14ac:dyDescent="0.25">
      <c r="A219" s="1">
        <v>217</v>
      </c>
      <c r="B219" s="1" t="s">
        <v>529</v>
      </c>
      <c r="C219" s="7">
        <v>1335.5968240974944</v>
      </c>
      <c r="E219" s="1">
        <v>217</v>
      </c>
      <c r="F219" s="1" t="s">
        <v>227</v>
      </c>
      <c r="G219" s="7">
        <v>0</v>
      </c>
    </row>
    <row r="220" spans="1:7" x14ac:dyDescent="0.25">
      <c r="A220" s="1">
        <v>218</v>
      </c>
      <c r="B220" s="1" t="s">
        <v>485</v>
      </c>
      <c r="C220" s="7">
        <v>1322.3400881014772</v>
      </c>
      <c r="E220" s="1">
        <v>218</v>
      </c>
      <c r="F220" s="1" t="s">
        <v>215</v>
      </c>
      <c r="G220" s="7">
        <v>0</v>
      </c>
    </row>
    <row r="221" spans="1:7" x14ac:dyDescent="0.25">
      <c r="A221" s="1">
        <v>219</v>
      </c>
      <c r="B221" s="1" t="s">
        <v>469</v>
      </c>
      <c r="C221" s="7">
        <v>1320.7213064940879</v>
      </c>
      <c r="E221" s="1">
        <v>219</v>
      </c>
      <c r="F221" s="1" t="s">
        <v>273</v>
      </c>
      <c r="G221" s="7">
        <v>0</v>
      </c>
    </row>
    <row r="222" spans="1:7" x14ac:dyDescent="0.25">
      <c r="A222" s="1">
        <v>220</v>
      </c>
      <c r="B222" s="1" t="s">
        <v>540</v>
      </c>
      <c r="C222" s="7">
        <v>1308.5134751247629</v>
      </c>
      <c r="E222" s="1">
        <v>220</v>
      </c>
      <c r="F222" s="1" t="s">
        <v>230</v>
      </c>
      <c r="G222" s="7">
        <v>0</v>
      </c>
    </row>
    <row r="223" spans="1:7" x14ac:dyDescent="0.25">
      <c r="A223" s="1">
        <v>221</v>
      </c>
      <c r="B223" s="1" t="s">
        <v>252</v>
      </c>
      <c r="C223" s="7">
        <v>1280.9213064940877</v>
      </c>
      <c r="E223" s="1">
        <v>221</v>
      </c>
      <c r="F223" s="1" t="s">
        <v>280</v>
      </c>
      <c r="G223" s="7">
        <v>0</v>
      </c>
    </row>
    <row r="224" spans="1:7" x14ac:dyDescent="0.25">
      <c r="A224" s="1">
        <v>222</v>
      </c>
      <c r="B224" s="1" t="s">
        <v>437</v>
      </c>
      <c r="C224" s="7">
        <v>1267.3580234414612</v>
      </c>
      <c r="E224" s="1">
        <v>222</v>
      </c>
      <c r="F224" s="1" t="s">
        <v>473</v>
      </c>
      <c r="G224" s="7">
        <v>0</v>
      </c>
    </row>
    <row r="225" spans="1:7" x14ac:dyDescent="0.25">
      <c r="A225" s="1">
        <v>223</v>
      </c>
      <c r="B225" s="1" t="s">
        <v>620</v>
      </c>
      <c r="C225" s="7">
        <v>1256.5999999999999</v>
      </c>
      <c r="E225" s="1">
        <v>223</v>
      </c>
      <c r="F225" s="1" t="s">
        <v>283</v>
      </c>
      <c r="G225" s="7">
        <v>0</v>
      </c>
    </row>
    <row r="226" spans="1:7" x14ac:dyDescent="0.25">
      <c r="A226" s="1">
        <v>224</v>
      </c>
      <c r="B226" s="1" t="s">
        <v>283</v>
      </c>
      <c r="C226" s="7">
        <v>1201.9000000000001</v>
      </c>
      <c r="E226" s="1">
        <v>224</v>
      </c>
      <c r="F226" s="1" t="s">
        <v>532</v>
      </c>
      <c r="G226" s="7">
        <v>0</v>
      </c>
    </row>
    <row r="227" spans="1:7" x14ac:dyDescent="0.25">
      <c r="A227" s="1">
        <v>225</v>
      </c>
      <c r="B227" s="1" t="s">
        <v>310</v>
      </c>
      <c r="C227" s="7">
        <v>1189.0999999999999</v>
      </c>
      <c r="E227" s="1">
        <v>225</v>
      </c>
      <c r="F227" s="1" t="s">
        <v>118</v>
      </c>
      <c r="G227" s="7">
        <v>0</v>
      </c>
    </row>
    <row r="228" spans="1:7" x14ac:dyDescent="0.25">
      <c r="A228" s="1">
        <v>226</v>
      </c>
      <c r="B228" s="1" t="s">
        <v>273</v>
      </c>
      <c r="C228" s="7">
        <v>1182.997516605554</v>
      </c>
      <c r="E228" s="1">
        <v>226</v>
      </c>
      <c r="F228" s="1" t="s">
        <v>322</v>
      </c>
      <c r="G228" s="7">
        <v>0</v>
      </c>
    </row>
    <row r="229" spans="1:7" x14ac:dyDescent="0.25">
      <c r="A229" s="1">
        <v>227</v>
      </c>
      <c r="B229" s="1" t="s">
        <v>539</v>
      </c>
      <c r="C229" s="7">
        <v>1168.8417824486273</v>
      </c>
      <c r="E229" s="1">
        <v>227</v>
      </c>
      <c r="F229" s="1" t="s">
        <v>564</v>
      </c>
      <c r="G229" s="7">
        <v>0</v>
      </c>
    </row>
    <row r="230" spans="1:7" x14ac:dyDescent="0.25">
      <c r="A230" s="1">
        <v>228</v>
      </c>
      <c r="B230" s="1" t="s">
        <v>624</v>
      </c>
      <c r="C230" s="7">
        <v>1133.1794667511865</v>
      </c>
      <c r="E230" s="1">
        <v>228</v>
      </c>
      <c r="F230" s="1" t="s">
        <v>507</v>
      </c>
      <c r="G230" s="7">
        <v>0</v>
      </c>
    </row>
    <row r="231" spans="1:7" x14ac:dyDescent="0.25">
      <c r="A231" s="1">
        <v>229</v>
      </c>
      <c r="B231" s="1" t="s">
        <v>590</v>
      </c>
      <c r="C231" s="7">
        <v>1120.0633914801713</v>
      </c>
      <c r="E231" s="1">
        <v>229</v>
      </c>
      <c r="F231" s="1" t="s">
        <v>494</v>
      </c>
      <c r="G231" s="7">
        <v>0</v>
      </c>
    </row>
    <row r="232" spans="1:7" x14ac:dyDescent="0.25">
      <c r="A232" s="1">
        <v>230</v>
      </c>
      <c r="B232" s="1" t="s">
        <v>602</v>
      </c>
      <c r="C232" s="7">
        <v>1118.0999999999999</v>
      </c>
      <c r="E232" s="1">
        <v>230</v>
      </c>
      <c r="F232" s="1" t="s">
        <v>9</v>
      </c>
      <c r="G232" s="7">
        <v>0</v>
      </c>
    </row>
    <row r="233" spans="1:7" x14ac:dyDescent="0.25">
      <c r="A233" s="1">
        <v>231</v>
      </c>
      <c r="B233" s="1" t="s">
        <v>118</v>
      </c>
      <c r="C233" s="7">
        <v>1107.3778796238985</v>
      </c>
      <c r="E233" s="1">
        <v>231</v>
      </c>
      <c r="F233" s="1" t="s">
        <v>464</v>
      </c>
      <c r="G233" s="7">
        <v>0</v>
      </c>
    </row>
    <row r="234" spans="1:7" x14ac:dyDescent="0.25">
      <c r="A234" s="1">
        <v>232</v>
      </c>
      <c r="B234" s="1" t="s">
        <v>481</v>
      </c>
      <c r="C234" s="7">
        <v>1057.2293100084169</v>
      </c>
      <c r="E234" s="1">
        <v>232</v>
      </c>
      <c r="F234" s="1" t="s">
        <v>272</v>
      </c>
      <c r="G234" s="7">
        <v>0</v>
      </c>
    </row>
    <row r="235" spans="1:7" x14ac:dyDescent="0.25">
      <c r="A235" s="1">
        <v>233</v>
      </c>
      <c r="B235" s="1" t="s">
        <v>471</v>
      </c>
      <c r="C235" s="7">
        <v>1013.8876285456796</v>
      </c>
      <c r="E235" s="1">
        <v>233</v>
      </c>
      <c r="F235" s="1" t="s">
        <v>481</v>
      </c>
      <c r="G235" s="7">
        <v>0</v>
      </c>
    </row>
    <row r="236" spans="1:7" x14ac:dyDescent="0.25">
      <c r="A236" s="1">
        <v>234</v>
      </c>
      <c r="B236" s="1" t="s">
        <v>541</v>
      </c>
      <c r="C236" s="7">
        <v>993.16789207398153</v>
      </c>
      <c r="E236" s="1">
        <v>234</v>
      </c>
      <c r="F236" s="1" t="s">
        <v>624</v>
      </c>
      <c r="G236" s="7">
        <v>0</v>
      </c>
    </row>
    <row r="237" spans="1:7" x14ac:dyDescent="0.25">
      <c r="A237" s="1">
        <v>235</v>
      </c>
      <c r="B237" s="1" t="s">
        <v>512</v>
      </c>
      <c r="C237" s="7">
        <v>951.53850556023144</v>
      </c>
      <c r="E237" s="1">
        <v>235</v>
      </c>
      <c r="F237" s="1" t="s">
        <v>560</v>
      </c>
      <c r="G237" s="7">
        <v>0</v>
      </c>
    </row>
    <row r="238" spans="1:7" x14ac:dyDescent="0.25">
      <c r="A238" s="1">
        <v>236</v>
      </c>
      <c r="B238" s="1" t="s">
        <v>513</v>
      </c>
      <c r="C238" s="7">
        <v>947.7881247513136</v>
      </c>
      <c r="E238" s="1">
        <v>236</v>
      </c>
      <c r="F238" s="1" t="s">
        <v>422</v>
      </c>
      <c r="G238" s="7">
        <v>0</v>
      </c>
    </row>
    <row r="239" spans="1:7" x14ac:dyDescent="0.25">
      <c r="A239" s="1">
        <v>237</v>
      </c>
      <c r="B239" s="1" t="s">
        <v>422</v>
      </c>
      <c r="C239" s="7">
        <v>920.08789092434927</v>
      </c>
      <c r="E239" s="1">
        <v>237</v>
      </c>
      <c r="F239" s="1" t="s">
        <v>635</v>
      </c>
      <c r="G239" s="7">
        <v>0</v>
      </c>
    </row>
    <row r="240" spans="1:7" x14ac:dyDescent="0.25">
      <c r="A240" s="1">
        <v>238</v>
      </c>
      <c r="B240" s="1" t="s">
        <v>228</v>
      </c>
      <c r="C240" s="7">
        <v>898.16781556864828</v>
      </c>
      <c r="E240" s="1">
        <v>238</v>
      </c>
      <c r="F240" s="1" t="s">
        <v>263</v>
      </c>
      <c r="G240" s="7">
        <v>0</v>
      </c>
    </row>
    <row r="241" spans="1:7" x14ac:dyDescent="0.25">
      <c r="A241" s="1">
        <v>239</v>
      </c>
      <c r="B241" s="1" t="s">
        <v>272</v>
      </c>
      <c r="C241" s="7">
        <v>874.29577798636285</v>
      </c>
      <c r="E241" s="1">
        <v>239</v>
      </c>
      <c r="F241" s="1" t="s">
        <v>510</v>
      </c>
      <c r="G241" s="7">
        <v>0</v>
      </c>
    </row>
    <row r="242" spans="1:7" x14ac:dyDescent="0.25">
      <c r="A242" s="1">
        <v>240</v>
      </c>
      <c r="B242" s="1" t="s">
        <v>560</v>
      </c>
      <c r="C242" s="7">
        <v>873.02682661397057</v>
      </c>
      <c r="E242" s="1">
        <v>240</v>
      </c>
      <c r="F242" s="1" t="s">
        <v>437</v>
      </c>
      <c r="G242" s="7">
        <v>0</v>
      </c>
    </row>
    <row r="243" spans="1:7" x14ac:dyDescent="0.25">
      <c r="A243" s="1">
        <v>241</v>
      </c>
      <c r="B243" s="1" t="s">
        <v>548</v>
      </c>
      <c r="C243" s="7">
        <v>870.32931000841677</v>
      </c>
      <c r="E243" s="1">
        <v>241</v>
      </c>
      <c r="F243" s="1" t="s">
        <v>540</v>
      </c>
      <c r="G243" s="7">
        <v>0</v>
      </c>
    </row>
    <row r="244" spans="1:7" x14ac:dyDescent="0.25">
      <c r="A244" s="1">
        <v>242</v>
      </c>
      <c r="B244" s="1" t="s">
        <v>263</v>
      </c>
      <c r="C244" s="7">
        <v>790.7506165025045</v>
      </c>
      <c r="E244" s="1">
        <v>242</v>
      </c>
      <c r="F244" s="1" t="s">
        <v>577</v>
      </c>
      <c r="G244" s="7">
        <v>0</v>
      </c>
    </row>
    <row r="245" spans="1:7" x14ac:dyDescent="0.25">
      <c r="A245" s="1">
        <v>243</v>
      </c>
      <c r="B245" s="1" t="s">
        <v>642</v>
      </c>
      <c r="C245" s="7">
        <v>787.92610962535412</v>
      </c>
      <c r="E245" s="1">
        <v>243</v>
      </c>
      <c r="F245" s="1" t="s">
        <v>593</v>
      </c>
      <c r="G245" s="7">
        <v>0</v>
      </c>
    </row>
    <row r="246" spans="1:7" x14ac:dyDescent="0.25">
      <c r="A246" s="1">
        <v>244</v>
      </c>
      <c r="B246" s="1" t="s">
        <v>572</v>
      </c>
      <c r="C246" s="7">
        <v>771.55175854632307</v>
      </c>
      <c r="E246" s="1">
        <v>244</v>
      </c>
      <c r="F246" s="1" t="s">
        <v>298</v>
      </c>
      <c r="G246" s="7">
        <v>0</v>
      </c>
    </row>
    <row r="247" spans="1:7" x14ac:dyDescent="0.25">
      <c r="A247" s="1">
        <v>245</v>
      </c>
      <c r="B247" s="1" t="s">
        <v>510</v>
      </c>
      <c r="C247" s="7">
        <v>737.42931000841679</v>
      </c>
      <c r="E247" s="1">
        <v>245</v>
      </c>
      <c r="F247" s="1" t="s">
        <v>471</v>
      </c>
      <c r="G247" s="7">
        <v>0</v>
      </c>
    </row>
    <row r="248" spans="1:7" x14ac:dyDescent="0.25">
      <c r="A248" s="1">
        <v>246</v>
      </c>
      <c r="B248" s="1" t="s">
        <v>635</v>
      </c>
      <c r="C248" s="7">
        <v>710.54665686753697</v>
      </c>
      <c r="E248" s="1">
        <v>246</v>
      </c>
      <c r="F248" s="1" t="s">
        <v>485</v>
      </c>
      <c r="G248" s="7">
        <v>0</v>
      </c>
    </row>
    <row r="249" spans="1:7" x14ac:dyDescent="0.25">
      <c r="A249" s="1">
        <v>247</v>
      </c>
      <c r="B249" s="1" t="s">
        <v>593</v>
      </c>
      <c r="C249" s="7">
        <v>534.521128359812</v>
      </c>
      <c r="E249" s="1">
        <v>247</v>
      </c>
      <c r="F249" s="1" t="s">
        <v>541</v>
      </c>
      <c r="G249" s="7">
        <v>0</v>
      </c>
    </row>
    <row r="250" spans="1:7" x14ac:dyDescent="0.25">
      <c r="A250" s="1">
        <v>248</v>
      </c>
      <c r="B250" s="1" t="s">
        <v>202</v>
      </c>
      <c r="C250" s="7">
        <v>518.4</v>
      </c>
      <c r="E250" s="1">
        <v>248</v>
      </c>
      <c r="F250" s="1" t="s">
        <v>461</v>
      </c>
      <c r="G250" s="7">
        <v>0</v>
      </c>
    </row>
    <row r="251" spans="1:7" x14ac:dyDescent="0.25">
      <c r="A251" s="1">
        <v>249</v>
      </c>
      <c r="B251" s="1" t="s">
        <v>461</v>
      </c>
      <c r="C251" s="7">
        <v>407.99577798636273</v>
      </c>
      <c r="E251" s="1">
        <v>249</v>
      </c>
      <c r="F251" s="1" t="s">
        <v>255</v>
      </c>
      <c r="G251" s="7">
        <v>0</v>
      </c>
    </row>
    <row r="252" spans="1:7" x14ac:dyDescent="0.25">
      <c r="A252" s="1">
        <v>250</v>
      </c>
      <c r="B252" s="1" t="s">
        <v>577</v>
      </c>
      <c r="C252" s="7">
        <v>299.36254055090006</v>
      </c>
      <c r="E252" s="1">
        <v>250</v>
      </c>
      <c r="F252" s="1" t="s">
        <v>572</v>
      </c>
      <c r="G252" s="7">
        <v>0</v>
      </c>
    </row>
    <row r="253" spans="1:7" x14ac:dyDescent="0.25">
      <c r="A253" s="1">
        <v>251</v>
      </c>
      <c r="B253" s="1" t="s">
        <v>255</v>
      </c>
      <c r="C253" s="7">
        <v>238.39577798636273</v>
      </c>
      <c r="E253" s="1">
        <v>251</v>
      </c>
      <c r="F253" s="1" t="s">
        <v>642</v>
      </c>
      <c r="G253" s="7">
        <v>0</v>
      </c>
    </row>
    <row r="254" spans="1:7" x14ac:dyDescent="0.25">
      <c r="A254" s="1">
        <v>252</v>
      </c>
      <c r="B254" s="1" t="s">
        <v>583</v>
      </c>
      <c r="C254" s="7">
        <v>66.599999999999994</v>
      </c>
      <c r="E254" s="1">
        <v>252</v>
      </c>
      <c r="F254" s="1" t="s">
        <v>583</v>
      </c>
      <c r="G254" s="7">
        <v>0</v>
      </c>
    </row>
    <row r="255" spans="1:7" x14ac:dyDescent="0.25">
      <c r="A255" s="1">
        <v>253</v>
      </c>
      <c r="B255" s="1" t="s">
        <v>553</v>
      </c>
      <c r="C255" s="7">
        <v>0</v>
      </c>
      <c r="E255" s="1">
        <v>253</v>
      </c>
      <c r="F255" s="1" t="s">
        <v>553</v>
      </c>
      <c r="G255" s="7">
        <v>0</v>
      </c>
    </row>
    <row r="256" spans="1:7" x14ac:dyDescent="0.25">
      <c r="B256" s="1"/>
      <c r="C256" s="7"/>
      <c r="F256" s="1"/>
      <c r="G256" s="7"/>
    </row>
    <row r="257" spans="2:7" x14ac:dyDescent="0.25">
      <c r="B257" s="1"/>
      <c r="C257" s="7"/>
      <c r="F257" s="1"/>
      <c r="G257" s="7"/>
    </row>
    <row r="258" spans="2:7" x14ac:dyDescent="0.25">
      <c r="B258" s="1"/>
      <c r="C258" s="7"/>
      <c r="F258" s="1"/>
      <c r="G258" s="7"/>
    </row>
    <row r="259" spans="2:7" x14ac:dyDescent="0.25">
      <c r="B259" s="1"/>
      <c r="C259" s="7"/>
      <c r="F259" s="1"/>
      <c r="G259" s="7"/>
    </row>
    <row r="260" spans="2:7" x14ac:dyDescent="0.25">
      <c r="B260" s="1"/>
      <c r="C260" s="7"/>
      <c r="F260" s="1"/>
      <c r="G260" s="7"/>
    </row>
    <row r="261" spans="2:7" x14ac:dyDescent="0.25">
      <c r="B261" s="1"/>
      <c r="C261" s="7"/>
      <c r="F261" s="1"/>
      <c r="G261" s="7"/>
    </row>
    <row r="262" spans="2:7" x14ac:dyDescent="0.25">
      <c r="B262" s="1"/>
      <c r="C262" s="7"/>
      <c r="F262" s="1"/>
      <c r="G262" s="7"/>
    </row>
    <row r="263" spans="2:7" x14ac:dyDescent="0.25">
      <c r="B263" s="1"/>
      <c r="C263" s="7"/>
      <c r="F263" s="1"/>
      <c r="G263" s="7"/>
    </row>
    <row r="264" spans="2:7" x14ac:dyDescent="0.25">
      <c r="B264" s="1"/>
      <c r="C264" s="7"/>
      <c r="F264" s="1"/>
      <c r="G264" s="7"/>
    </row>
    <row r="265" spans="2:7" x14ac:dyDescent="0.25">
      <c r="B265" s="1"/>
      <c r="C265" s="7"/>
      <c r="F265" s="1"/>
      <c r="G265" s="7"/>
    </row>
    <row r="266" spans="2:7" x14ac:dyDescent="0.25">
      <c r="B266" s="1"/>
      <c r="C266" s="7"/>
      <c r="F266" s="1"/>
      <c r="G266" s="7"/>
    </row>
    <row r="267" spans="2:7" x14ac:dyDescent="0.25">
      <c r="B267" s="1"/>
      <c r="C267" s="7"/>
      <c r="F267" s="1"/>
      <c r="G267" s="7"/>
    </row>
    <row r="268" spans="2:7" x14ac:dyDescent="0.25">
      <c r="B268" s="1"/>
      <c r="C268" s="7"/>
      <c r="F268" s="1"/>
      <c r="G268" s="7"/>
    </row>
    <row r="269" spans="2:7" x14ac:dyDescent="0.25">
      <c r="B269" s="1"/>
      <c r="C269" s="7"/>
      <c r="F269" s="1"/>
      <c r="G269" s="7"/>
    </row>
    <row r="270" spans="2:7" x14ac:dyDescent="0.25">
      <c r="B270" s="1"/>
      <c r="C270" s="7"/>
      <c r="F270" s="1"/>
      <c r="G270" s="7"/>
    </row>
    <row r="271" spans="2:7" x14ac:dyDescent="0.25">
      <c r="B271" s="1"/>
      <c r="C271" s="7"/>
      <c r="F271" s="1"/>
      <c r="G271" s="7"/>
    </row>
    <row r="272" spans="2:7" x14ac:dyDescent="0.25">
      <c r="B272" s="1"/>
      <c r="C272" s="7"/>
      <c r="F272" s="1"/>
      <c r="G272" s="7"/>
    </row>
    <row r="273" spans="2:7" x14ac:dyDescent="0.25">
      <c r="B273" s="1"/>
      <c r="C273" s="7"/>
      <c r="F273" s="1"/>
      <c r="G273" s="7"/>
    </row>
    <row r="274" spans="2:7" x14ac:dyDescent="0.25">
      <c r="B274" s="1"/>
      <c r="C274" s="7"/>
      <c r="F274" s="1"/>
      <c r="G274" s="7"/>
    </row>
  </sheetData>
  <autoFilter ref="A2:L2" xr:uid="{15FEE1FA-CEDC-4C21-8F6C-10653C6063E9}"/>
  <phoneticPr fontId="3" type="noConversion"/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B92A7-C10D-4A5C-8380-575E3DAA4E75}">
  <sheetPr codeName="Blad18">
    <tabColor theme="8"/>
  </sheetPr>
  <dimension ref="A2:I266"/>
  <sheetViews>
    <sheetView zoomScale="85" zoomScaleNormal="85" workbookViewId="0">
      <selection activeCell="A7" sqref="A7"/>
    </sheetView>
  </sheetViews>
  <sheetFormatPr defaultRowHeight="13.2" x14ac:dyDescent="0.25"/>
  <cols>
    <col min="1" max="1" width="11" style="17" bestFit="1" customWidth="1"/>
    <col min="2" max="2" width="53" style="1" bestFit="1" customWidth="1"/>
    <col min="3" max="3" width="14.77734375" style="13" customWidth="1"/>
    <col min="4" max="5" width="11" style="13" bestFit="1" customWidth="1"/>
    <col min="6" max="6" width="12.44140625" style="13" bestFit="1" customWidth="1"/>
    <col min="7" max="7" width="11" style="13" bestFit="1" customWidth="1"/>
    <col min="8" max="8" width="15.77734375" style="13" customWidth="1"/>
    <col min="9" max="9" width="17" style="13" bestFit="1" customWidth="1"/>
  </cols>
  <sheetData>
    <row r="2" spans="1:9" x14ac:dyDescent="0.25">
      <c r="A2" s="16"/>
      <c r="B2" s="2"/>
      <c r="C2" s="5"/>
      <c r="D2" s="5"/>
      <c r="E2" s="5"/>
      <c r="F2" s="5"/>
      <c r="G2" s="5"/>
      <c r="H2" s="5"/>
      <c r="I2" s="5"/>
    </row>
    <row r="3" spans="1:9" s="22" customFormat="1" ht="26.4" x14ac:dyDescent="0.25">
      <c r="A3" s="19" t="s">
        <v>459</v>
      </c>
      <c r="B3" s="20" t="s">
        <v>458</v>
      </c>
      <c r="C3" s="21" t="e">
        <f>+#REF!</f>
        <v>#REF!</v>
      </c>
      <c r="D3" s="21" t="e">
        <f>+#REF!</f>
        <v>#REF!</v>
      </c>
      <c r="E3" s="21" t="e">
        <f>+#REF!</f>
        <v>#REF!</v>
      </c>
      <c r="F3" s="21" t="e">
        <f>+#REF!</f>
        <v>#REF!</v>
      </c>
      <c r="G3" s="21" t="e">
        <f>+#REF!</f>
        <v>#REF!</v>
      </c>
      <c r="H3" s="21" t="e">
        <f>+#REF!</f>
        <v>#REF!</v>
      </c>
      <c r="I3" s="21" t="s">
        <v>460</v>
      </c>
    </row>
    <row r="4" spans="1:9" x14ac:dyDescent="0.25">
      <c r="A4" s="17" t="e">
        <f>+MATCH($B4,#REF!,0)</f>
        <v>#REF!</v>
      </c>
      <c r="B4" s="1" t="s">
        <v>362</v>
      </c>
      <c r="C4" s="13">
        <v>11</v>
      </c>
      <c r="D4" s="13">
        <v>217</v>
      </c>
      <c r="E4" s="13">
        <v>261</v>
      </c>
      <c r="F4" s="18">
        <v>249.81818181818181</v>
      </c>
      <c r="G4" s="13">
        <v>259</v>
      </c>
      <c r="H4" s="18">
        <v>1959.9451500317725</v>
      </c>
      <c r="I4" s="13" t="e">
        <f t="shared" ref="I4:I67" si="0">MAX(0,A4-G4)</f>
        <v>#REF!</v>
      </c>
    </row>
    <row r="5" spans="1:9" x14ac:dyDescent="0.25">
      <c r="A5" s="17" t="e">
        <f>+MATCH($B5,#REF!,0)</f>
        <v>#REF!</v>
      </c>
      <c r="B5" s="1" t="s">
        <v>441</v>
      </c>
      <c r="C5" s="13">
        <v>5</v>
      </c>
      <c r="D5" s="13">
        <v>1</v>
      </c>
      <c r="E5" s="13">
        <v>239</v>
      </c>
      <c r="F5" s="18">
        <v>115.63636363636364</v>
      </c>
      <c r="G5" s="13">
        <v>128.5</v>
      </c>
      <c r="H5" s="18">
        <v>1902.1884891527457</v>
      </c>
      <c r="I5" s="13" t="e">
        <f t="shared" si="0"/>
        <v>#REF!</v>
      </c>
    </row>
    <row r="6" spans="1:9" x14ac:dyDescent="0.25">
      <c r="A6" s="17" t="e">
        <f>+MATCH($B6,#REF!,0)</f>
        <v>#REF!</v>
      </c>
      <c r="B6" s="1" t="s">
        <v>437</v>
      </c>
      <c r="C6" s="13">
        <v>13</v>
      </c>
      <c r="D6" s="13">
        <v>29</v>
      </c>
      <c r="E6" s="13">
        <v>245</v>
      </c>
      <c r="F6" s="18">
        <v>148.18181818181819</v>
      </c>
      <c r="G6" s="13">
        <v>131.5</v>
      </c>
      <c r="H6" s="18">
        <v>1488.4481115164331</v>
      </c>
      <c r="I6" s="13" t="e">
        <f t="shared" si="0"/>
        <v>#REF!</v>
      </c>
    </row>
    <row r="7" spans="1:9" x14ac:dyDescent="0.25">
      <c r="A7" s="17" t="e">
        <f>+MATCH($B7,#REF!,0)</f>
        <v>#REF!</v>
      </c>
      <c r="B7" s="1" t="s">
        <v>114</v>
      </c>
      <c r="C7" s="13">
        <v>18</v>
      </c>
      <c r="D7" s="13">
        <v>1</v>
      </c>
      <c r="E7" s="13">
        <v>170</v>
      </c>
      <c r="F7" s="18">
        <v>18.59090909090909</v>
      </c>
      <c r="G7" s="13">
        <v>3.5</v>
      </c>
      <c r="H7" s="18">
        <v>1420.2041928547974</v>
      </c>
      <c r="I7" s="13" t="e">
        <f t="shared" si="0"/>
        <v>#REF!</v>
      </c>
    </row>
    <row r="8" spans="1:9" x14ac:dyDescent="0.25">
      <c r="A8" s="17" t="e">
        <f>+MATCH($B8,#REF!,0)</f>
        <v>#REF!</v>
      </c>
      <c r="B8" s="1" t="s">
        <v>425</v>
      </c>
      <c r="C8" s="13">
        <v>10</v>
      </c>
      <c r="D8" s="13">
        <v>1</v>
      </c>
      <c r="E8" s="13">
        <v>231</v>
      </c>
      <c r="F8" s="18">
        <v>28</v>
      </c>
      <c r="G8" s="13">
        <v>3</v>
      </c>
      <c r="H8" s="18">
        <v>1414.3112162509024</v>
      </c>
      <c r="I8" s="13" t="e">
        <f t="shared" si="0"/>
        <v>#REF!</v>
      </c>
    </row>
    <row r="9" spans="1:9" x14ac:dyDescent="0.25">
      <c r="A9" s="17" t="e">
        <f>+MATCH($B9,#REF!,0)</f>
        <v>#REF!</v>
      </c>
      <c r="B9" s="1" t="s">
        <v>284</v>
      </c>
      <c r="C9" s="13">
        <v>13</v>
      </c>
      <c r="D9" s="13">
        <v>1</v>
      </c>
      <c r="E9" s="13">
        <v>124</v>
      </c>
      <c r="F9" s="18">
        <v>13</v>
      </c>
      <c r="G9" s="13">
        <v>2</v>
      </c>
      <c r="H9" s="18">
        <v>1357.0144510796472</v>
      </c>
      <c r="I9" s="13" t="e">
        <f t="shared" si="0"/>
        <v>#REF!</v>
      </c>
    </row>
    <row r="10" spans="1:9" x14ac:dyDescent="0.25">
      <c r="A10" s="17" t="e">
        <f>+MATCH($B10,#REF!,0)</f>
        <v>#REF!</v>
      </c>
      <c r="B10" s="1" t="s">
        <v>272</v>
      </c>
      <c r="C10" s="13">
        <v>20</v>
      </c>
      <c r="D10" s="13">
        <v>2</v>
      </c>
      <c r="E10" s="13">
        <v>133</v>
      </c>
      <c r="F10" s="18">
        <v>69.727272727272734</v>
      </c>
      <c r="G10" s="13">
        <v>61</v>
      </c>
      <c r="H10" s="18">
        <v>1353.4886760976528</v>
      </c>
      <c r="I10" s="13" t="e">
        <f t="shared" si="0"/>
        <v>#REF!</v>
      </c>
    </row>
    <row r="11" spans="1:9" x14ac:dyDescent="0.25">
      <c r="A11" s="17" t="e">
        <f>+MATCH($B11,#REF!,0)</f>
        <v>#REF!</v>
      </c>
      <c r="B11" s="1" t="s">
        <v>353</v>
      </c>
      <c r="C11" s="13">
        <v>21</v>
      </c>
      <c r="D11" s="13">
        <v>18</v>
      </c>
      <c r="E11" s="13">
        <v>195</v>
      </c>
      <c r="F11" s="18">
        <v>95.13636363636364</v>
      </c>
      <c r="G11" s="13">
        <v>97</v>
      </c>
      <c r="H11" s="18">
        <v>1271.3679169652014</v>
      </c>
      <c r="I11" s="13" t="e">
        <f t="shared" si="0"/>
        <v>#REF!</v>
      </c>
    </row>
    <row r="12" spans="1:9" x14ac:dyDescent="0.25">
      <c r="A12" s="17" t="e">
        <f>+MATCH($B12,#REF!,0)</f>
        <v>#REF!</v>
      </c>
      <c r="B12" s="1" t="s">
        <v>415</v>
      </c>
      <c r="C12" s="13">
        <v>11</v>
      </c>
      <c r="D12" s="13">
        <v>1</v>
      </c>
      <c r="E12" s="13">
        <v>227</v>
      </c>
      <c r="F12" s="18">
        <v>27.045454545454547</v>
      </c>
      <c r="G12" s="13">
        <v>5</v>
      </c>
      <c r="H12" s="18">
        <v>1255.7114224887916</v>
      </c>
      <c r="I12" s="13" t="e">
        <f t="shared" si="0"/>
        <v>#REF!</v>
      </c>
    </row>
    <row r="13" spans="1:9" x14ac:dyDescent="0.25">
      <c r="A13" s="17" t="e">
        <f>+MATCH($B13,#REF!,0)</f>
        <v>#REF!</v>
      </c>
      <c r="B13" s="1" t="s">
        <v>299</v>
      </c>
      <c r="C13" s="13">
        <v>14</v>
      </c>
      <c r="D13" s="13">
        <v>51</v>
      </c>
      <c r="E13" s="13">
        <v>259</v>
      </c>
      <c r="F13" s="18">
        <v>140.77272727272728</v>
      </c>
      <c r="G13" s="13">
        <v>109</v>
      </c>
      <c r="H13" s="18">
        <v>1231.3679169652019</v>
      </c>
      <c r="I13" s="13" t="e">
        <f t="shared" si="0"/>
        <v>#REF!</v>
      </c>
    </row>
    <row r="14" spans="1:9" x14ac:dyDescent="0.25">
      <c r="A14" s="17" t="e">
        <f>+MATCH($B14,#REF!,0)</f>
        <v>#REF!</v>
      </c>
      <c r="B14" s="1" t="s">
        <v>204</v>
      </c>
      <c r="C14" s="13">
        <v>14</v>
      </c>
      <c r="D14" s="13">
        <v>2</v>
      </c>
      <c r="E14" s="13">
        <v>164</v>
      </c>
      <c r="F14" s="18">
        <v>52.81818181818182</v>
      </c>
      <c r="G14" s="13">
        <v>36</v>
      </c>
      <c r="H14" s="18">
        <v>1203.6720049625701</v>
      </c>
      <c r="I14" s="13" t="e">
        <f t="shared" si="0"/>
        <v>#REF!</v>
      </c>
    </row>
    <row r="15" spans="1:9" x14ac:dyDescent="0.25">
      <c r="A15" s="17" t="e">
        <f>+MATCH($B15,#REF!,0)</f>
        <v>#REF!</v>
      </c>
      <c r="B15" s="1" t="s">
        <v>11</v>
      </c>
      <c r="C15" s="13">
        <v>9</v>
      </c>
      <c r="D15" s="13">
        <v>4</v>
      </c>
      <c r="E15" s="13">
        <v>225</v>
      </c>
      <c r="F15" s="18">
        <v>28</v>
      </c>
      <c r="G15" s="13">
        <v>6.5</v>
      </c>
      <c r="H15" s="18">
        <v>1185.7080155808735</v>
      </c>
      <c r="I15" s="13" t="e">
        <f t="shared" si="0"/>
        <v>#REF!</v>
      </c>
    </row>
    <row r="16" spans="1:9" x14ac:dyDescent="0.25">
      <c r="A16" s="17" t="e">
        <f>+MATCH($B16,#REF!,0)</f>
        <v>#REF!</v>
      </c>
      <c r="B16" s="1" t="s">
        <v>215</v>
      </c>
      <c r="C16" s="13">
        <v>15</v>
      </c>
      <c r="D16" s="13">
        <v>69</v>
      </c>
      <c r="E16" s="13">
        <v>255</v>
      </c>
      <c r="F16" s="18">
        <v>174.90909090909091</v>
      </c>
      <c r="G16" s="13">
        <v>154</v>
      </c>
      <c r="H16" s="18">
        <v>1153.0379148914647</v>
      </c>
      <c r="I16" s="13" t="e">
        <f t="shared" si="0"/>
        <v>#REF!</v>
      </c>
    </row>
    <row r="17" spans="1:9" x14ac:dyDescent="0.25">
      <c r="A17" s="17" t="e">
        <f>+MATCH($B17,#REF!,0)</f>
        <v>#REF!</v>
      </c>
      <c r="B17" s="1" t="s">
        <v>349</v>
      </c>
      <c r="C17" s="13">
        <v>19</v>
      </c>
      <c r="D17" s="13">
        <v>5</v>
      </c>
      <c r="E17" s="13">
        <v>199</v>
      </c>
      <c r="F17" s="18">
        <v>70.63636363636364</v>
      </c>
      <c r="G17" s="13">
        <v>28</v>
      </c>
      <c r="H17" s="18">
        <v>1153.0379148914644</v>
      </c>
      <c r="I17" s="13" t="e">
        <f t="shared" si="0"/>
        <v>#REF!</v>
      </c>
    </row>
    <row r="18" spans="1:9" x14ac:dyDescent="0.25">
      <c r="A18" s="17" t="e">
        <f>+MATCH($B18,#REF!,0)</f>
        <v>#REF!</v>
      </c>
      <c r="B18" s="1" t="s">
        <v>218</v>
      </c>
      <c r="C18" s="13">
        <v>9</v>
      </c>
      <c r="D18" s="13">
        <v>8</v>
      </c>
      <c r="E18" s="13">
        <v>232</v>
      </c>
      <c r="F18" s="18">
        <v>36.727272727272727</v>
      </c>
      <c r="G18" s="13">
        <v>14.5</v>
      </c>
      <c r="H18" s="18">
        <v>1145.9080155808733</v>
      </c>
      <c r="I18" s="13" t="e">
        <f t="shared" si="0"/>
        <v>#REF!</v>
      </c>
    </row>
    <row r="19" spans="1:9" x14ac:dyDescent="0.25">
      <c r="A19" s="17" t="e">
        <f>+MATCH($B19,#REF!,0)</f>
        <v>#REF!</v>
      </c>
      <c r="B19" s="1" t="s">
        <v>113</v>
      </c>
      <c r="C19" s="13">
        <v>10</v>
      </c>
      <c r="D19" s="13">
        <v>2</v>
      </c>
      <c r="E19" s="13">
        <v>226</v>
      </c>
      <c r="F19" s="18">
        <v>34.81818181818182</v>
      </c>
      <c r="G19" s="13">
        <v>17</v>
      </c>
      <c r="H19" s="18">
        <v>1129.8195473439437</v>
      </c>
      <c r="I19" s="13" t="e">
        <f t="shared" si="0"/>
        <v>#REF!</v>
      </c>
    </row>
    <row r="20" spans="1:9" x14ac:dyDescent="0.25">
      <c r="A20" s="17" t="e">
        <f>+MATCH($B20,#REF!,0)</f>
        <v>#REF!</v>
      </c>
      <c r="B20" s="1" t="s">
        <v>254</v>
      </c>
      <c r="C20" s="13">
        <v>9</v>
      </c>
      <c r="D20" s="13">
        <v>4</v>
      </c>
      <c r="E20" s="13">
        <v>228</v>
      </c>
      <c r="F20" s="18">
        <v>29.5</v>
      </c>
      <c r="G20" s="13">
        <v>7</v>
      </c>
      <c r="H20" s="18">
        <v>1129.1910810096265</v>
      </c>
      <c r="I20" s="13" t="e">
        <f t="shared" si="0"/>
        <v>#REF!</v>
      </c>
    </row>
    <row r="21" spans="1:9" x14ac:dyDescent="0.25">
      <c r="A21" s="17" t="e">
        <f>+MATCH($B21,#REF!,0)</f>
        <v>#REF!</v>
      </c>
      <c r="B21" s="1" t="s">
        <v>214</v>
      </c>
      <c r="C21" s="13">
        <v>21</v>
      </c>
      <c r="D21" s="13">
        <v>6</v>
      </c>
      <c r="E21" s="13">
        <v>193</v>
      </c>
      <c r="F21" s="18">
        <v>100.27272727272727</v>
      </c>
      <c r="G21" s="13">
        <v>110</v>
      </c>
      <c r="H21" s="18">
        <v>1116.3203288673833</v>
      </c>
      <c r="I21" s="13" t="e">
        <f t="shared" si="0"/>
        <v>#REF!</v>
      </c>
    </row>
    <row r="22" spans="1:9" x14ac:dyDescent="0.25">
      <c r="A22" s="17" t="e">
        <f>+MATCH($B22,#REF!,0)</f>
        <v>#REF!</v>
      </c>
      <c r="B22" s="1" t="s">
        <v>277</v>
      </c>
      <c r="C22" s="13">
        <v>10</v>
      </c>
      <c r="D22" s="13">
        <v>5</v>
      </c>
      <c r="E22" s="13">
        <v>238</v>
      </c>
      <c r="F22" s="18">
        <v>43.227272727272727</v>
      </c>
      <c r="G22" s="13">
        <v>12</v>
      </c>
      <c r="H22" s="18">
        <v>1112.383448977318</v>
      </c>
      <c r="I22" s="13" t="e">
        <f t="shared" si="0"/>
        <v>#REF!</v>
      </c>
    </row>
    <row r="23" spans="1:9" x14ac:dyDescent="0.25">
      <c r="A23" s="17" t="e">
        <f>+MATCH($B23,#REF!,0)</f>
        <v>#REF!</v>
      </c>
      <c r="B23" s="1" t="s">
        <v>266</v>
      </c>
      <c r="C23" s="13">
        <v>18</v>
      </c>
      <c r="D23" s="13">
        <v>58</v>
      </c>
      <c r="E23" s="13">
        <v>212</v>
      </c>
      <c r="F23" s="18">
        <v>152.68181818181819</v>
      </c>
      <c r="G23" s="13">
        <v>168.5</v>
      </c>
      <c r="H23" s="18">
        <v>1108.2311252686818</v>
      </c>
      <c r="I23" s="13" t="e">
        <f t="shared" si="0"/>
        <v>#REF!</v>
      </c>
    </row>
    <row r="24" spans="1:9" x14ac:dyDescent="0.25">
      <c r="A24" s="17" t="e">
        <f>+MATCH($B24,#REF!,0)</f>
        <v>#REF!</v>
      </c>
      <c r="B24" s="1" t="s">
        <v>310</v>
      </c>
      <c r="C24" s="13">
        <v>20</v>
      </c>
      <c r="D24" s="13">
        <v>4</v>
      </c>
      <c r="E24" s="13">
        <v>192</v>
      </c>
      <c r="F24" s="18">
        <v>49.227272727272727</v>
      </c>
      <c r="G24" s="13">
        <v>22</v>
      </c>
      <c r="H24" s="18">
        <v>1096.9261079999246</v>
      </c>
      <c r="I24" s="13" t="e">
        <f t="shared" si="0"/>
        <v>#REF!</v>
      </c>
    </row>
    <row r="25" spans="1:9" x14ac:dyDescent="0.25">
      <c r="A25" s="17" t="e">
        <f>+MATCH($B25,#REF!,0)</f>
        <v>#REF!</v>
      </c>
      <c r="B25" s="1" t="s">
        <v>404</v>
      </c>
      <c r="C25" s="13">
        <v>14</v>
      </c>
      <c r="D25" s="13">
        <v>11</v>
      </c>
      <c r="E25" s="13">
        <v>230</v>
      </c>
      <c r="F25" s="18">
        <v>142.13636363636363</v>
      </c>
      <c r="G25" s="13">
        <v>154.5</v>
      </c>
      <c r="H25" s="18">
        <v>1095.5600904632611</v>
      </c>
      <c r="I25" s="13" t="e">
        <f t="shared" si="0"/>
        <v>#REF!</v>
      </c>
    </row>
    <row r="26" spans="1:9" x14ac:dyDescent="0.25">
      <c r="A26" s="17" t="e">
        <f>+MATCH($B26,#REF!,0)</f>
        <v>#REF!</v>
      </c>
      <c r="B26" s="1" t="s">
        <v>352</v>
      </c>
      <c r="C26" s="13">
        <v>13</v>
      </c>
      <c r="D26" s="13">
        <v>8</v>
      </c>
      <c r="E26" s="13">
        <v>240</v>
      </c>
      <c r="F26" s="18">
        <v>155.72727272727272</v>
      </c>
      <c r="G26" s="13">
        <v>183.5</v>
      </c>
      <c r="H26" s="18">
        <v>1052</v>
      </c>
      <c r="I26" s="13" t="e">
        <f t="shared" si="0"/>
        <v>#REF!</v>
      </c>
    </row>
    <row r="27" spans="1:9" x14ac:dyDescent="0.25">
      <c r="A27" s="17" t="e">
        <f>+MATCH($B27,#REF!,0)</f>
        <v>#REF!</v>
      </c>
      <c r="B27" s="1" t="s">
        <v>398</v>
      </c>
      <c r="C27" s="13">
        <v>11</v>
      </c>
      <c r="D27" s="13">
        <v>9</v>
      </c>
      <c r="E27" s="13">
        <v>56</v>
      </c>
      <c r="F27" s="18">
        <v>20.318181818181817</v>
      </c>
      <c r="G27" s="13">
        <v>15</v>
      </c>
      <c r="H27" s="18">
        <v>1047.9589119144248</v>
      </c>
      <c r="I27" s="13" t="e">
        <f t="shared" si="0"/>
        <v>#REF!</v>
      </c>
    </row>
    <row r="28" spans="1:9" x14ac:dyDescent="0.25">
      <c r="A28" s="17" t="e">
        <f>+MATCH($B28,#REF!,0)</f>
        <v>#REF!</v>
      </c>
      <c r="B28" s="1" t="s">
        <v>320</v>
      </c>
      <c r="C28" s="13">
        <v>10</v>
      </c>
      <c r="D28" s="13">
        <v>7</v>
      </c>
      <c r="E28" s="13">
        <v>230</v>
      </c>
      <c r="F28" s="18">
        <v>36.909090909090907</v>
      </c>
      <c r="G28" s="13">
        <v>13</v>
      </c>
      <c r="H28" s="18">
        <v>1047.9589119144239</v>
      </c>
      <c r="I28" s="13" t="e">
        <f t="shared" si="0"/>
        <v>#REF!</v>
      </c>
    </row>
    <row r="29" spans="1:9" x14ac:dyDescent="0.25">
      <c r="A29" s="17" t="e">
        <f>+MATCH($B29,#REF!,0)</f>
        <v>#REF!</v>
      </c>
      <c r="B29" s="1" t="s">
        <v>285</v>
      </c>
      <c r="C29" s="13">
        <v>8</v>
      </c>
      <c r="D29" s="13">
        <v>57</v>
      </c>
      <c r="E29" s="13">
        <v>249</v>
      </c>
      <c r="F29" s="18">
        <v>227.68181818181819</v>
      </c>
      <c r="G29" s="13">
        <v>239.5</v>
      </c>
      <c r="H29" s="18">
        <v>1035.3908433165759</v>
      </c>
      <c r="I29" s="13" t="e">
        <f t="shared" si="0"/>
        <v>#REF!</v>
      </c>
    </row>
    <row r="30" spans="1:9" x14ac:dyDescent="0.25">
      <c r="A30" s="17" t="e">
        <f>+MATCH($B30,#REF!,0)</f>
        <v>#REF!</v>
      </c>
      <c r="B30" s="1" t="s">
        <v>256</v>
      </c>
      <c r="C30" s="13">
        <v>21</v>
      </c>
      <c r="D30" s="13">
        <v>2</v>
      </c>
      <c r="E30" s="13">
        <v>38</v>
      </c>
      <c r="F30" s="18">
        <v>16.272727272727273</v>
      </c>
      <c r="G30" s="13">
        <v>17.5</v>
      </c>
      <c r="H30" s="18">
        <v>1033.079501651634</v>
      </c>
      <c r="I30" s="13" t="e">
        <f t="shared" si="0"/>
        <v>#REF!</v>
      </c>
    </row>
    <row r="31" spans="1:9" x14ac:dyDescent="0.25">
      <c r="A31" s="17" t="e">
        <f>+MATCH($B31,#REF!,0)</f>
        <v>#REF!</v>
      </c>
      <c r="B31" s="1" t="s">
        <v>297</v>
      </c>
      <c r="C31" s="13">
        <v>21</v>
      </c>
      <c r="D31" s="13">
        <v>67</v>
      </c>
      <c r="E31" s="13">
        <v>236</v>
      </c>
      <c r="F31" s="18">
        <v>179.63636363636363</v>
      </c>
      <c r="G31" s="13">
        <v>193</v>
      </c>
      <c r="H31" s="18">
        <v>1016.4767280722572</v>
      </c>
      <c r="I31" s="13" t="e">
        <f t="shared" si="0"/>
        <v>#REF!</v>
      </c>
    </row>
    <row r="32" spans="1:9" x14ac:dyDescent="0.25">
      <c r="A32" s="17" t="e">
        <f>+MATCH($B32,#REF!,0)</f>
        <v>#REF!</v>
      </c>
      <c r="B32" s="1" t="s">
        <v>448</v>
      </c>
      <c r="C32" s="13">
        <v>11</v>
      </c>
      <c r="D32" s="13">
        <v>11</v>
      </c>
      <c r="E32" s="13">
        <v>126</v>
      </c>
      <c r="F32" s="18">
        <v>28.818181818181817</v>
      </c>
      <c r="G32" s="13">
        <v>17</v>
      </c>
      <c r="H32" s="18">
        <v>1003.0951011642014</v>
      </c>
      <c r="I32" s="13" t="e">
        <f t="shared" si="0"/>
        <v>#REF!</v>
      </c>
    </row>
    <row r="33" spans="1:9" x14ac:dyDescent="0.25">
      <c r="A33" s="17" t="e">
        <f>+MATCH($B33,#REF!,0)</f>
        <v>#REF!</v>
      </c>
      <c r="B33" s="1" t="s">
        <v>360</v>
      </c>
      <c r="C33" s="13">
        <v>11</v>
      </c>
      <c r="D33" s="13">
        <v>8</v>
      </c>
      <c r="E33" s="13">
        <v>125</v>
      </c>
      <c r="F33" s="18">
        <v>23.59090909090909</v>
      </c>
      <c r="G33" s="13">
        <v>13</v>
      </c>
      <c r="H33" s="18">
        <v>979.80715055419296</v>
      </c>
      <c r="I33" s="13" t="e">
        <f t="shared" si="0"/>
        <v>#REF!</v>
      </c>
    </row>
    <row r="34" spans="1:9" x14ac:dyDescent="0.25">
      <c r="A34" s="17" t="e">
        <f>+MATCH($B34,#REF!,0)</f>
        <v>#REF!</v>
      </c>
      <c r="B34" s="1" t="s">
        <v>449</v>
      </c>
      <c r="C34" s="13">
        <v>12</v>
      </c>
      <c r="D34" s="13">
        <v>11</v>
      </c>
      <c r="E34" s="13">
        <v>241</v>
      </c>
      <c r="F34" s="18">
        <v>122.31818181818181</v>
      </c>
      <c r="G34" s="13">
        <v>135.5</v>
      </c>
      <c r="H34" s="18">
        <v>975.73842802834497</v>
      </c>
      <c r="I34" s="13" t="e">
        <f t="shared" si="0"/>
        <v>#REF!</v>
      </c>
    </row>
    <row r="35" spans="1:9" x14ac:dyDescent="0.25">
      <c r="A35" s="17" t="e">
        <f>+MATCH($B35,#REF!,0)</f>
        <v>#REF!</v>
      </c>
      <c r="B35" s="1" t="s">
        <v>419</v>
      </c>
      <c r="C35" s="13">
        <v>18</v>
      </c>
      <c r="D35" s="13">
        <v>9</v>
      </c>
      <c r="E35" s="13">
        <v>171</v>
      </c>
      <c r="F35" s="18">
        <v>29.318181818181817</v>
      </c>
      <c r="G35" s="13">
        <v>15</v>
      </c>
      <c r="H35" s="18">
        <v>968.20801558087442</v>
      </c>
      <c r="I35" s="13" t="e">
        <f t="shared" si="0"/>
        <v>#REF!</v>
      </c>
    </row>
    <row r="36" spans="1:9" x14ac:dyDescent="0.25">
      <c r="A36" s="17" t="e">
        <f>+MATCH($B36,#REF!,0)</f>
        <v>#REF!</v>
      </c>
      <c r="B36" s="1" t="s">
        <v>155</v>
      </c>
      <c r="C36" s="13">
        <v>18</v>
      </c>
      <c r="D36" s="13">
        <v>75</v>
      </c>
      <c r="E36" s="13">
        <v>211</v>
      </c>
      <c r="F36" s="18">
        <v>167.31818181818181</v>
      </c>
      <c r="G36" s="13">
        <v>175.5</v>
      </c>
      <c r="H36" s="18">
        <v>963.9800290221051</v>
      </c>
      <c r="I36" s="13" t="e">
        <f t="shared" si="0"/>
        <v>#REF!</v>
      </c>
    </row>
    <row r="37" spans="1:9" x14ac:dyDescent="0.25">
      <c r="A37" s="17" t="e">
        <f>+MATCH($B37,#REF!,0)</f>
        <v>#REF!</v>
      </c>
      <c r="B37" s="1" t="s">
        <v>369</v>
      </c>
      <c r="C37" s="13">
        <v>10</v>
      </c>
      <c r="D37" s="13">
        <v>22</v>
      </c>
      <c r="E37" s="13">
        <v>229</v>
      </c>
      <c r="F37" s="18">
        <v>52.863636363636367</v>
      </c>
      <c r="G37" s="13">
        <v>25.5</v>
      </c>
      <c r="H37" s="18">
        <v>959.20715055419237</v>
      </c>
      <c r="I37" s="13" t="e">
        <f t="shared" si="0"/>
        <v>#REF!</v>
      </c>
    </row>
    <row r="38" spans="1:9" x14ac:dyDescent="0.25">
      <c r="A38" s="17" t="e">
        <f>+MATCH($B38,#REF!,0)</f>
        <v>#REF!</v>
      </c>
      <c r="B38" s="1" t="s">
        <v>421</v>
      </c>
      <c r="C38" s="13">
        <v>12</v>
      </c>
      <c r="D38" s="13">
        <v>235</v>
      </c>
      <c r="E38" s="13">
        <v>261</v>
      </c>
      <c r="F38" s="18">
        <v>252.81818181818181</v>
      </c>
      <c r="G38" s="13">
        <v>256</v>
      </c>
      <c r="H38" s="18">
        <v>954.47725611500846</v>
      </c>
      <c r="I38" s="13" t="e">
        <f t="shared" si="0"/>
        <v>#REF!</v>
      </c>
    </row>
    <row r="39" spans="1:9" x14ac:dyDescent="0.25">
      <c r="A39" s="17" t="e">
        <f>+MATCH($B39,#REF!,0)</f>
        <v>#REF!</v>
      </c>
      <c r="B39" s="1" t="s">
        <v>395</v>
      </c>
      <c r="C39" s="13">
        <v>11</v>
      </c>
      <c r="D39" s="13">
        <v>4</v>
      </c>
      <c r="E39" s="13">
        <v>220</v>
      </c>
      <c r="F39" s="18">
        <v>122.13636363636364</v>
      </c>
      <c r="G39" s="13">
        <v>127.5</v>
      </c>
      <c r="H39" s="18">
        <v>949.10286121776608</v>
      </c>
      <c r="I39" s="13" t="e">
        <f t="shared" si="0"/>
        <v>#REF!</v>
      </c>
    </row>
    <row r="40" spans="1:9" x14ac:dyDescent="0.25">
      <c r="A40" s="17" t="e">
        <f>+MATCH($B40,#REF!,0)</f>
        <v>#REF!</v>
      </c>
      <c r="B40" s="1" t="s">
        <v>377</v>
      </c>
      <c r="C40" s="13">
        <v>10</v>
      </c>
      <c r="D40" s="13">
        <v>21</v>
      </c>
      <c r="E40" s="13">
        <v>181</v>
      </c>
      <c r="F40" s="18">
        <v>47</v>
      </c>
      <c r="G40" s="13">
        <v>28</v>
      </c>
      <c r="H40" s="18">
        <v>912.88959123888969</v>
      </c>
      <c r="I40" s="13" t="e">
        <f t="shared" si="0"/>
        <v>#REF!</v>
      </c>
    </row>
    <row r="41" spans="1:9" x14ac:dyDescent="0.25">
      <c r="A41" s="17" t="e">
        <f>+MATCH($B41,#REF!,0)</f>
        <v>#REF!</v>
      </c>
      <c r="B41" s="1" t="s">
        <v>399</v>
      </c>
      <c r="C41" s="13">
        <v>10</v>
      </c>
      <c r="D41" s="13">
        <v>86</v>
      </c>
      <c r="E41" s="13">
        <v>252</v>
      </c>
      <c r="F41" s="18">
        <v>223.72727272727272</v>
      </c>
      <c r="G41" s="13">
        <v>241.5</v>
      </c>
      <c r="H41" s="18">
        <v>905.33180472133085</v>
      </c>
      <c r="I41" s="13" t="e">
        <f t="shared" si="0"/>
        <v>#REF!</v>
      </c>
    </row>
    <row r="42" spans="1:9" x14ac:dyDescent="0.25">
      <c r="A42" s="17" t="e">
        <f>+MATCH($B42,#REF!,0)</f>
        <v>#REF!</v>
      </c>
      <c r="B42" s="1" t="s">
        <v>432</v>
      </c>
      <c r="C42" s="13">
        <v>9</v>
      </c>
      <c r="D42" s="13">
        <v>23</v>
      </c>
      <c r="E42" s="13">
        <v>234</v>
      </c>
      <c r="F42" s="18">
        <v>86.454545454545453</v>
      </c>
      <c r="G42" s="13">
        <v>61</v>
      </c>
      <c r="H42" s="18">
        <v>886.97919806153106</v>
      </c>
      <c r="I42" s="13" t="e">
        <f t="shared" si="0"/>
        <v>#REF!</v>
      </c>
    </row>
    <row r="43" spans="1:9" x14ac:dyDescent="0.25">
      <c r="A43" s="17" t="e">
        <f>+MATCH($B43,#REF!,0)</f>
        <v>#REF!</v>
      </c>
      <c r="B43" s="1" t="s">
        <v>430</v>
      </c>
      <c r="C43" s="13">
        <v>17</v>
      </c>
      <c r="D43" s="13">
        <v>64</v>
      </c>
      <c r="E43" s="13">
        <v>254</v>
      </c>
      <c r="F43" s="18">
        <v>162.86363636363637</v>
      </c>
      <c r="G43" s="13">
        <v>156.5</v>
      </c>
      <c r="H43" s="18">
        <v>879.9035137697033</v>
      </c>
      <c r="I43" s="13" t="e">
        <f t="shared" si="0"/>
        <v>#REF!</v>
      </c>
    </row>
    <row r="44" spans="1:9" x14ac:dyDescent="0.25">
      <c r="A44" s="17" t="e">
        <f>+MATCH($B44,#REF!,0)</f>
        <v>#REF!</v>
      </c>
      <c r="B44" s="1" t="s">
        <v>388</v>
      </c>
      <c r="C44" s="13">
        <v>11</v>
      </c>
      <c r="D44" s="13">
        <v>13</v>
      </c>
      <c r="E44" s="13">
        <v>233</v>
      </c>
      <c r="F44" s="18">
        <v>54.727272727272727</v>
      </c>
      <c r="G44" s="13">
        <v>30.5</v>
      </c>
      <c r="H44" s="18">
        <v>875.10715055419212</v>
      </c>
      <c r="I44" s="13" t="e">
        <f t="shared" si="0"/>
        <v>#REF!</v>
      </c>
    </row>
    <row r="45" spans="1:9" x14ac:dyDescent="0.25">
      <c r="A45" s="17" t="e">
        <f>+MATCH($B45,#REF!,0)</f>
        <v>#REF!</v>
      </c>
      <c r="B45" s="1" t="s">
        <v>417</v>
      </c>
      <c r="C45" s="13">
        <v>15</v>
      </c>
      <c r="D45" s="13">
        <v>114</v>
      </c>
      <c r="E45" s="13">
        <v>237</v>
      </c>
      <c r="F45" s="18">
        <v>200</v>
      </c>
      <c r="G45" s="13">
        <v>216</v>
      </c>
      <c r="H45" s="18">
        <v>874.50500538793449</v>
      </c>
      <c r="I45" s="13" t="e">
        <f t="shared" si="0"/>
        <v>#REF!</v>
      </c>
    </row>
    <row r="46" spans="1:9" x14ac:dyDescent="0.25">
      <c r="A46" s="17" t="e">
        <f>+MATCH($B46,#REF!,0)</f>
        <v>#REF!</v>
      </c>
      <c r="B46" s="1" t="s">
        <v>439</v>
      </c>
      <c r="C46" s="13">
        <v>15</v>
      </c>
      <c r="D46" s="13">
        <v>22</v>
      </c>
      <c r="E46" s="13">
        <v>240</v>
      </c>
      <c r="F46" s="18">
        <v>141</v>
      </c>
      <c r="G46" s="13">
        <v>149.5</v>
      </c>
      <c r="H46" s="18">
        <v>872.71189606246298</v>
      </c>
      <c r="I46" s="13" t="e">
        <f t="shared" si="0"/>
        <v>#REF!</v>
      </c>
    </row>
    <row r="47" spans="1:9" x14ac:dyDescent="0.25">
      <c r="A47" s="17" t="e">
        <f>+MATCH($B47,#REF!,0)</f>
        <v>#REF!</v>
      </c>
      <c r="B47" s="1" t="s">
        <v>160</v>
      </c>
      <c r="C47" s="13">
        <v>18</v>
      </c>
      <c r="D47" s="13">
        <v>9</v>
      </c>
      <c r="E47" s="13">
        <v>217</v>
      </c>
      <c r="F47" s="18">
        <v>38.045454545454547</v>
      </c>
      <c r="G47" s="13">
        <v>21</v>
      </c>
      <c r="H47" s="18">
        <v>867.7189940563469</v>
      </c>
      <c r="I47" s="13" t="e">
        <f t="shared" si="0"/>
        <v>#REF!</v>
      </c>
    </row>
    <row r="48" spans="1:9" x14ac:dyDescent="0.25">
      <c r="A48" s="17" t="e">
        <f>+MATCH($B48,#REF!,0)</f>
        <v>#REF!</v>
      </c>
      <c r="B48" s="1" t="s">
        <v>391</v>
      </c>
      <c r="C48" s="13">
        <v>21</v>
      </c>
      <c r="D48" s="13">
        <v>60</v>
      </c>
      <c r="E48" s="13">
        <v>183</v>
      </c>
      <c r="F48" s="18">
        <v>126.77272727272727</v>
      </c>
      <c r="G48" s="13">
        <v>134</v>
      </c>
      <c r="H48" s="18">
        <v>858.60000000000036</v>
      </c>
      <c r="I48" s="13" t="e">
        <f t="shared" si="0"/>
        <v>#REF!</v>
      </c>
    </row>
    <row r="49" spans="1:9" x14ac:dyDescent="0.25">
      <c r="A49" s="17" t="e">
        <f>+MATCH($B49,#REF!,0)</f>
        <v>#REF!</v>
      </c>
      <c r="B49" s="1" t="s">
        <v>452</v>
      </c>
      <c r="C49" s="13">
        <v>19</v>
      </c>
      <c r="D49" s="13">
        <v>32</v>
      </c>
      <c r="E49" s="13">
        <v>188</v>
      </c>
      <c r="F49" s="18">
        <v>149.45454545454547</v>
      </c>
      <c r="G49" s="13">
        <v>161</v>
      </c>
      <c r="H49" s="18">
        <v>850.06893542734269</v>
      </c>
      <c r="I49" s="13" t="e">
        <f t="shared" si="0"/>
        <v>#REF!</v>
      </c>
    </row>
    <row r="50" spans="1:9" x14ac:dyDescent="0.25">
      <c r="A50" s="17" t="e">
        <f>+MATCH($B50,#REF!,0)</f>
        <v>#REF!</v>
      </c>
      <c r="B50" s="1" t="s">
        <v>410</v>
      </c>
      <c r="C50" s="13">
        <v>19</v>
      </c>
      <c r="D50" s="13">
        <v>8</v>
      </c>
      <c r="E50" s="13">
        <v>68</v>
      </c>
      <c r="F50" s="18">
        <v>45.909090909090907</v>
      </c>
      <c r="G50" s="13">
        <v>52</v>
      </c>
      <c r="H50" s="18">
        <v>840.35596958564429</v>
      </c>
      <c r="I50" s="13" t="e">
        <f t="shared" si="0"/>
        <v>#REF!</v>
      </c>
    </row>
    <row r="51" spans="1:9" x14ac:dyDescent="0.25">
      <c r="A51" s="17" t="e">
        <f>+MATCH($B51,#REF!,0)</f>
        <v>#REF!</v>
      </c>
      <c r="B51" s="1" t="s">
        <v>159</v>
      </c>
      <c r="C51" s="13">
        <v>21</v>
      </c>
      <c r="D51" s="13">
        <v>2</v>
      </c>
      <c r="E51" s="13">
        <v>86</v>
      </c>
      <c r="F51" s="18">
        <v>24.59090909090909</v>
      </c>
      <c r="G51" s="13">
        <v>19</v>
      </c>
      <c r="H51" s="18">
        <v>838.78834781311843</v>
      </c>
      <c r="I51" s="13" t="e">
        <f t="shared" si="0"/>
        <v>#REF!</v>
      </c>
    </row>
    <row r="52" spans="1:9" x14ac:dyDescent="0.25">
      <c r="A52" s="17" t="e">
        <f>+MATCH($B52,#REF!,0)</f>
        <v>#REF!</v>
      </c>
      <c r="B52" s="1" t="s">
        <v>263</v>
      </c>
      <c r="C52" s="13">
        <v>10</v>
      </c>
      <c r="D52" s="13">
        <v>60</v>
      </c>
      <c r="E52" s="13">
        <v>226</v>
      </c>
      <c r="F52" s="18">
        <v>154.36363636363637</v>
      </c>
      <c r="G52" s="13">
        <v>175</v>
      </c>
      <c r="H52" s="18">
        <v>836.11301832945924</v>
      </c>
      <c r="I52" s="13" t="e">
        <f t="shared" si="0"/>
        <v>#REF!</v>
      </c>
    </row>
    <row r="53" spans="1:9" x14ac:dyDescent="0.25">
      <c r="A53" s="17" t="e">
        <f>+MATCH($B53,#REF!,0)</f>
        <v>#REF!</v>
      </c>
      <c r="B53" s="1" t="s">
        <v>117</v>
      </c>
      <c r="C53" s="13">
        <v>14</v>
      </c>
      <c r="D53" s="13">
        <v>32</v>
      </c>
      <c r="E53" s="13">
        <v>227</v>
      </c>
      <c r="F53" s="18">
        <v>134.81818181818181</v>
      </c>
      <c r="G53" s="13">
        <v>151.5</v>
      </c>
      <c r="H53" s="18">
        <v>834.75596958564427</v>
      </c>
      <c r="I53" s="13" t="e">
        <f t="shared" si="0"/>
        <v>#REF!</v>
      </c>
    </row>
    <row r="54" spans="1:9" x14ac:dyDescent="0.25">
      <c r="A54" s="17" t="e">
        <f>+MATCH($B54,#REF!,0)</f>
        <v>#REF!</v>
      </c>
      <c r="B54" s="1" t="s">
        <v>393</v>
      </c>
      <c r="C54" s="13">
        <v>19</v>
      </c>
      <c r="D54" s="13">
        <v>20</v>
      </c>
      <c r="E54" s="13">
        <v>96</v>
      </c>
      <c r="F54" s="18">
        <v>41.409090909090907</v>
      </c>
      <c r="G54" s="13">
        <v>32</v>
      </c>
      <c r="H54" s="18">
        <v>820.48072097601471</v>
      </c>
      <c r="I54" s="13" t="e">
        <f t="shared" si="0"/>
        <v>#REF!</v>
      </c>
    </row>
    <row r="55" spans="1:9" x14ac:dyDescent="0.25">
      <c r="A55" s="17" t="e">
        <f>+MATCH($B55,#REF!,0)</f>
        <v>#REF!</v>
      </c>
      <c r="B55" s="1" t="s">
        <v>300</v>
      </c>
      <c r="C55" s="13">
        <v>14</v>
      </c>
      <c r="D55" s="13">
        <v>85</v>
      </c>
      <c r="E55" s="13">
        <v>227</v>
      </c>
      <c r="F55" s="18">
        <v>188.45454545454547</v>
      </c>
      <c r="G55" s="13">
        <v>207</v>
      </c>
      <c r="H55" s="18">
        <v>816.28564482505067</v>
      </c>
      <c r="I55" s="13" t="e">
        <f t="shared" si="0"/>
        <v>#REF!</v>
      </c>
    </row>
    <row r="56" spans="1:9" x14ac:dyDescent="0.25">
      <c r="A56" s="17" t="e">
        <f>+MATCH($B56,#REF!,0)</f>
        <v>#REF!</v>
      </c>
      <c r="B56" s="1" t="s">
        <v>445</v>
      </c>
      <c r="C56" s="13">
        <v>8</v>
      </c>
      <c r="D56" s="13">
        <v>222</v>
      </c>
      <c r="E56" s="13">
        <v>261</v>
      </c>
      <c r="F56" s="18">
        <v>243.77272727272728</v>
      </c>
      <c r="G56" s="13">
        <v>247</v>
      </c>
      <c r="H56" s="18">
        <v>816.04984770855162</v>
      </c>
      <c r="I56" s="13" t="e">
        <f t="shared" si="0"/>
        <v>#REF!</v>
      </c>
    </row>
    <row r="57" spans="1:9" x14ac:dyDescent="0.25">
      <c r="A57" s="17" t="e">
        <f>+MATCH($B57,#REF!,0)</f>
        <v>#REF!</v>
      </c>
      <c r="B57" s="1" t="s">
        <v>228</v>
      </c>
      <c r="C57" s="13">
        <v>19</v>
      </c>
      <c r="D57" s="13">
        <v>14</v>
      </c>
      <c r="E57" s="13">
        <v>181</v>
      </c>
      <c r="F57" s="18">
        <v>136.27272727272728</v>
      </c>
      <c r="G57" s="13">
        <v>168</v>
      </c>
      <c r="H57" s="18">
        <v>808.77162975977353</v>
      </c>
      <c r="I57" s="13" t="e">
        <f t="shared" si="0"/>
        <v>#REF!</v>
      </c>
    </row>
    <row r="58" spans="1:9" x14ac:dyDescent="0.25">
      <c r="A58" s="17" t="e">
        <f>+MATCH($B58,#REF!,0)</f>
        <v>#REF!</v>
      </c>
      <c r="B58" s="1" t="s">
        <v>270</v>
      </c>
      <c r="C58" s="13">
        <v>19</v>
      </c>
      <c r="D58" s="13">
        <v>16</v>
      </c>
      <c r="E58" s="13">
        <v>195</v>
      </c>
      <c r="F58" s="18">
        <v>108.09090909090909</v>
      </c>
      <c r="G58" s="13">
        <v>117</v>
      </c>
      <c r="H58" s="18">
        <v>808.77162975977308</v>
      </c>
      <c r="I58" s="13" t="e">
        <f t="shared" si="0"/>
        <v>#REF!</v>
      </c>
    </row>
    <row r="59" spans="1:9" x14ac:dyDescent="0.25">
      <c r="A59" s="17" t="e">
        <f>+MATCH($B59,#REF!,0)</f>
        <v>#REF!</v>
      </c>
      <c r="B59" s="1" t="s">
        <v>385</v>
      </c>
      <c r="C59" s="13">
        <v>19</v>
      </c>
      <c r="D59" s="13">
        <v>29</v>
      </c>
      <c r="E59" s="13">
        <v>159</v>
      </c>
      <c r="F59" s="18">
        <v>115.77272727272727</v>
      </c>
      <c r="G59" s="13">
        <v>132</v>
      </c>
      <c r="H59" s="18">
        <v>808.77162975977262</v>
      </c>
      <c r="I59" s="13" t="e">
        <f t="shared" si="0"/>
        <v>#REF!</v>
      </c>
    </row>
    <row r="60" spans="1:9" x14ac:dyDescent="0.25">
      <c r="A60" s="17" t="e">
        <f>+MATCH($B60,#REF!,0)</f>
        <v>#REF!</v>
      </c>
      <c r="B60" s="1" t="s">
        <v>262</v>
      </c>
      <c r="C60" s="13">
        <v>14</v>
      </c>
      <c r="D60" s="13">
        <v>176</v>
      </c>
      <c r="E60" s="13">
        <v>253</v>
      </c>
      <c r="F60" s="18">
        <v>220.36363636363637</v>
      </c>
      <c r="G60" s="13">
        <v>219.5</v>
      </c>
      <c r="H60" s="18">
        <v>808.71662835697407</v>
      </c>
      <c r="I60" s="13" t="e">
        <f t="shared" si="0"/>
        <v>#REF!</v>
      </c>
    </row>
    <row r="61" spans="1:9" x14ac:dyDescent="0.25">
      <c r="A61" s="17" t="e">
        <f>+MATCH($B61,#REF!,0)</f>
        <v>#REF!</v>
      </c>
      <c r="B61" s="1" t="s">
        <v>265</v>
      </c>
      <c r="C61" s="13">
        <v>7</v>
      </c>
      <c r="D61" s="13">
        <v>22</v>
      </c>
      <c r="E61" s="13">
        <v>247</v>
      </c>
      <c r="F61" s="18">
        <v>207.77272727272728</v>
      </c>
      <c r="G61" s="13">
        <v>235.5</v>
      </c>
      <c r="H61" s="18">
        <v>807.12654042402528</v>
      </c>
      <c r="I61" s="13" t="e">
        <f t="shared" si="0"/>
        <v>#REF!</v>
      </c>
    </row>
    <row r="62" spans="1:9" x14ac:dyDescent="0.25">
      <c r="A62" s="17" t="e">
        <f>+MATCH($B62,#REF!,0)</f>
        <v>#REF!</v>
      </c>
      <c r="B62" s="1" t="s">
        <v>205</v>
      </c>
      <c r="C62" s="13">
        <v>18</v>
      </c>
      <c r="D62" s="13">
        <v>21</v>
      </c>
      <c r="E62" s="13">
        <v>210</v>
      </c>
      <c r="F62" s="18">
        <v>57</v>
      </c>
      <c r="G62" s="13">
        <v>33</v>
      </c>
      <c r="H62" s="18">
        <v>804.61158893068671</v>
      </c>
      <c r="I62" s="13" t="e">
        <f t="shared" si="0"/>
        <v>#REF!</v>
      </c>
    </row>
    <row r="63" spans="1:9" x14ac:dyDescent="0.25">
      <c r="A63" s="17" t="e">
        <f>+MATCH($B63,#REF!,0)</f>
        <v>#REF!</v>
      </c>
      <c r="B63" s="1" t="s">
        <v>447</v>
      </c>
      <c r="C63" s="13">
        <v>14</v>
      </c>
      <c r="D63" s="13">
        <v>37</v>
      </c>
      <c r="E63" s="13">
        <v>239</v>
      </c>
      <c r="F63" s="18">
        <v>135.22727272727272</v>
      </c>
      <c r="G63" s="13">
        <v>133.5</v>
      </c>
      <c r="H63" s="18">
        <v>801.69999999999993</v>
      </c>
      <c r="I63" s="13" t="e">
        <f t="shared" si="0"/>
        <v>#REF!</v>
      </c>
    </row>
    <row r="64" spans="1:9" x14ac:dyDescent="0.25">
      <c r="A64" s="17" t="e">
        <f>+MATCH($B64,#REF!,0)</f>
        <v>#REF!</v>
      </c>
      <c r="B64" s="1" t="s">
        <v>371</v>
      </c>
      <c r="C64" s="13">
        <v>19</v>
      </c>
      <c r="D64" s="13">
        <v>13</v>
      </c>
      <c r="E64" s="13">
        <v>102</v>
      </c>
      <c r="F64" s="18">
        <v>52.31818181818182</v>
      </c>
      <c r="G64" s="13">
        <v>59.5</v>
      </c>
      <c r="H64" s="18">
        <v>796.16009046326053</v>
      </c>
      <c r="I64" s="13" t="e">
        <f t="shared" si="0"/>
        <v>#REF!</v>
      </c>
    </row>
    <row r="65" spans="1:9" x14ac:dyDescent="0.25">
      <c r="A65" s="17" t="e">
        <f>+MATCH($B65,#REF!,0)</f>
        <v>#REF!</v>
      </c>
      <c r="B65" s="1" t="s">
        <v>329</v>
      </c>
      <c r="C65" s="13">
        <v>9</v>
      </c>
      <c r="D65" s="13">
        <v>38</v>
      </c>
      <c r="E65" s="13">
        <v>236</v>
      </c>
      <c r="F65" s="18">
        <v>110.59090909090909</v>
      </c>
      <c r="G65" s="13">
        <v>81</v>
      </c>
      <c r="H65" s="18">
        <v>791.28072097601535</v>
      </c>
      <c r="I65" s="13" t="e">
        <f t="shared" si="0"/>
        <v>#REF!</v>
      </c>
    </row>
    <row r="66" spans="1:9" x14ac:dyDescent="0.25">
      <c r="A66" s="17" t="e">
        <f>+MATCH($B66,#REF!,0)</f>
        <v>#REF!</v>
      </c>
      <c r="B66" s="1" t="s">
        <v>427</v>
      </c>
      <c r="C66" s="13">
        <v>14</v>
      </c>
      <c r="D66" s="13">
        <v>17</v>
      </c>
      <c r="E66" s="13">
        <v>170</v>
      </c>
      <c r="F66" s="18">
        <v>61.863636363636367</v>
      </c>
      <c r="G66" s="13">
        <v>51</v>
      </c>
      <c r="H66" s="18">
        <v>787.70509831248455</v>
      </c>
      <c r="I66" s="13" t="e">
        <f t="shared" si="0"/>
        <v>#REF!</v>
      </c>
    </row>
    <row r="67" spans="1:9" x14ac:dyDescent="0.25">
      <c r="A67" s="17" t="e">
        <f>+MATCH($B67,#REF!,0)</f>
        <v>#REF!</v>
      </c>
      <c r="B67" s="1" t="s">
        <v>273</v>
      </c>
      <c r="C67" s="13">
        <v>9</v>
      </c>
      <c r="D67" s="13">
        <v>137</v>
      </c>
      <c r="E67" s="13">
        <v>258</v>
      </c>
      <c r="F67" s="18">
        <v>226.5</v>
      </c>
      <c r="G67" s="13">
        <v>234</v>
      </c>
      <c r="H67" s="18">
        <v>786.94570463109994</v>
      </c>
      <c r="I67" s="13" t="e">
        <f t="shared" si="0"/>
        <v>#REF!</v>
      </c>
    </row>
    <row r="68" spans="1:9" x14ac:dyDescent="0.25">
      <c r="A68" s="17" t="e">
        <f>+MATCH($B68,#REF!,0)</f>
        <v>#REF!</v>
      </c>
      <c r="B68" s="1" t="s">
        <v>308</v>
      </c>
      <c r="C68" s="13">
        <v>16</v>
      </c>
      <c r="D68" s="13">
        <v>19</v>
      </c>
      <c r="E68" s="13">
        <v>238</v>
      </c>
      <c r="F68" s="18">
        <v>117.22727272727273</v>
      </c>
      <c r="G68" s="13">
        <v>119</v>
      </c>
      <c r="H68" s="18">
        <v>784.40000000000009</v>
      </c>
      <c r="I68" s="13" t="e">
        <f t="shared" ref="I68:I131" si="1">MAX(0,A68-G68)</f>
        <v>#REF!</v>
      </c>
    </row>
    <row r="69" spans="1:9" x14ac:dyDescent="0.25">
      <c r="A69" s="17" t="e">
        <f>+MATCH($B69,#REF!,0)</f>
        <v>#REF!</v>
      </c>
      <c r="B69" s="1" t="s">
        <v>358</v>
      </c>
      <c r="C69" s="13">
        <v>18</v>
      </c>
      <c r="D69" s="13">
        <v>7</v>
      </c>
      <c r="E69" s="13">
        <v>191</v>
      </c>
      <c r="F69" s="18">
        <v>32.863636363636367</v>
      </c>
      <c r="G69" s="13">
        <v>17.5</v>
      </c>
      <c r="H69" s="18">
        <v>774.01954734394371</v>
      </c>
      <c r="I69" s="13" t="e">
        <f t="shared" si="1"/>
        <v>#REF!</v>
      </c>
    </row>
    <row r="70" spans="1:9" x14ac:dyDescent="0.25">
      <c r="A70" s="17" t="e">
        <f>+MATCH($B70,#REF!,0)</f>
        <v>#REF!</v>
      </c>
      <c r="B70" s="1" t="s">
        <v>365</v>
      </c>
      <c r="C70" s="13">
        <v>12</v>
      </c>
      <c r="D70" s="13">
        <v>72</v>
      </c>
      <c r="E70" s="13">
        <v>227</v>
      </c>
      <c r="F70" s="18">
        <v>158.77272727272728</v>
      </c>
      <c r="G70" s="13">
        <v>157.5</v>
      </c>
      <c r="H70" s="18">
        <v>766.21189606246389</v>
      </c>
      <c r="I70" s="13" t="e">
        <f t="shared" si="1"/>
        <v>#REF!</v>
      </c>
    </row>
    <row r="71" spans="1:9" x14ac:dyDescent="0.25">
      <c r="A71" s="17" t="e">
        <f>+MATCH($B71,#REF!,0)</f>
        <v>#REF!</v>
      </c>
      <c r="B71" s="1" t="s">
        <v>279</v>
      </c>
      <c r="C71" s="13">
        <v>21</v>
      </c>
      <c r="D71" s="13">
        <v>3</v>
      </c>
      <c r="E71" s="13">
        <v>52</v>
      </c>
      <c r="F71" s="18">
        <v>32.863636363636367</v>
      </c>
      <c r="G71" s="13">
        <v>35</v>
      </c>
      <c r="H71" s="18">
        <v>762.60643549877477</v>
      </c>
      <c r="I71" s="13" t="e">
        <f t="shared" si="1"/>
        <v>#REF!</v>
      </c>
    </row>
    <row r="72" spans="1:9" x14ac:dyDescent="0.25">
      <c r="A72" s="17" t="e">
        <f>+MATCH($B72,#REF!,0)</f>
        <v>#REF!</v>
      </c>
      <c r="B72" s="1" t="s">
        <v>313</v>
      </c>
      <c r="C72" s="13">
        <v>18</v>
      </c>
      <c r="D72" s="13">
        <v>90</v>
      </c>
      <c r="E72" s="13">
        <v>203</v>
      </c>
      <c r="F72" s="18">
        <v>151.31818181818181</v>
      </c>
      <c r="G72" s="13">
        <v>153.5</v>
      </c>
      <c r="H72" s="18">
        <v>758.48913434755468</v>
      </c>
      <c r="I72" s="13" t="e">
        <f t="shared" si="1"/>
        <v>#REF!</v>
      </c>
    </row>
    <row r="73" spans="1:9" x14ac:dyDescent="0.25">
      <c r="A73" s="17" t="e">
        <f>+MATCH($B73,#REF!,0)</f>
        <v>#REF!</v>
      </c>
      <c r="B73" s="1" t="s">
        <v>431</v>
      </c>
      <c r="C73" s="13">
        <v>20</v>
      </c>
      <c r="D73" s="13">
        <v>9</v>
      </c>
      <c r="E73" s="13">
        <v>71</v>
      </c>
      <c r="F73" s="18">
        <v>46.045454545454547</v>
      </c>
      <c r="G73" s="13">
        <v>53</v>
      </c>
      <c r="H73" s="18">
        <v>755.77236398586763</v>
      </c>
      <c r="I73" s="13" t="e">
        <f t="shared" si="1"/>
        <v>#REF!</v>
      </c>
    </row>
    <row r="74" spans="1:9" x14ac:dyDescent="0.25">
      <c r="A74" s="17" t="e">
        <f>+MATCH($B74,#REF!,0)</f>
        <v>#REF!</v>
      </c>
      <c r="B74" s="1" t="s">
        <v>223</v>
      </c>
      <c r="C74" s="13">
        <v>21</v>
      </c>
      <c r="D74" s="13">
        <v>15</v>
      </c>
      <c r="E74" s="13">
        <v>194</v>
      </c>
      <c r="F74" s="18">
        <v>91.954545454545453</v>
      </c>
      <c r="G74" s="13">
        <v>101</v>
      </c>
      <c r="H74" s="18">
        <v>755.77236398586763</v>
      </c>
      <c r="I74" s="13" t="e">
        <f t="shared" si="1"/>
        <v>#REF!</v>
      </c>
    </row>
    <row r="75" spans="1:9" x14ac:dyDescent="0.25">
      <c r="A75" s="17" t="e">
        <f>+MATCH($B75,#REF!,0)</f>
        <v>#REF!</v>
      </c>
      <c r="B75" s="1" t="s">
        <v>232</v>
      </c>
      <c r="C75" s="13">
        <v>22</v>
      </c>
      <c r="D75" s="13">
        <v>7</v>
      </c>
      <c r="E75" s="13">
        <v>62</v>
      </c>
      <c r="F75" s="18">
        <v>31.454545454545453</v>
      </c>
      <c r="G75" s="13">
        <v>31</v>
      </c>
      <c r="H75" s="18">
        <v>746.90995377782281</v>
      </c>
      <c r="I75" s="13" t="e">
        <f t="shared" si="1"/>
        <v>#REF!</v>
      </c>
    </row>
    <row r="76" spans="1:9" x14ac:dyDescent="0.25">
      <c r="A76" s="17" t="e">
        <f>+MATCH($B76,#REF!,0)</f>
        <v>#REF!</v>
      </c>
      <c r="B76" s="1" t="s">
        <v>112</v>
      </c>
      <c r="C76" s="13">
        <v>11</v>
      </c>
      <c r="D76" s="13">
        <v>21</v>
      </c>
      <c r="E76" s="13">
        <v>244</v>
      </c>
      <c r="F76" s="18">
        <v>162.81818181818181</v>
      </c>
      <c r="G76" s="13">
        <v>196.5</v>
      </c>
      <c r="H76" s="18">
        <v>746.90995377782281</v>
      </c>
      <c r="I76" s="13" t="e">
        <f t="shared" si="1"/>
        <v>#REF!</v>
      </c>
    </row>
    <row r="77" spans="1:9" x14ac:dyDescent="0.25">
      <c r="A77" s="17" t="e">
        <f>+MATCH($B77,#REF!,0)</f>
        <v>#REF!</v>
      </c>
      <c r="B77" s="1" t="s">
        <v>318</v>
      </c>
      <c r="C77" s="13">
        <v>4</v>
      </c>
      <c r="D77" s="13">
        <v>12</v>
      </c>
      <c r="E77" s="13">
        <v>254</v>
      </c>
      <c r="F77" s="18">
        <v>172.09090909090909</v>
      </c>
      <c r="G77" s="13">
        <v>201</v>
      </c>
      <c r="H77" s="18">
        <v>746.90995377782281</v>
      </c>
      <c r="I77" s="13" t="e">
        <f t="shared" si="1"/>
        <v>#REF!</v>
      </c>
    </row>
    <row r="78" spans="1:9" x14ac:dyDescent="0.25">
      <c r="A78" s="17" t="e">
        <f>+MATCH($B78,#REF!,0)</f>
        <v>#REF!</v>
      </c>
      <c r="B78" s="1" t="s">
        <v>442</v>
      </c>
      <c r="C78" s="13">
        <v>12</v>
      </c>
      <c r="D78" s="13">
        <v>181</v>
      </c>
      <c r="E78" s="13">
        <v>256</v>
      </c>
      <c r="F78" s="18">
        <v>234.72727272727272</v>
      </c>
      <c r="G78" s="13">
        <v>239</v>
      </c>
      <c r="H78" s="18">
        <v>745.54631058073414</v>
      </c>
      <c r="I78" s="13" t="e">
        <f t="shared" si="1"/>
        <v>#REF!</v>
      </c>
    </row>
    <row r="79" spans="1:9" x14ac:dyDescent="0.25">
      <c r="A79" s="17" t="e">
        <f>+MATCH($B79,#REF!,0)</f>
        <v>#REF!</v>
      </c>
      <c r="B79" s="1" t="s">
        <v>453</v>
      </c>
      <c r="C79" s="13">
        <v>16</v>
      </c>
      <c r="D79" s="13">
        <v>26</v>
      </c>
      <c r="E79" s="13">
        <v>235</v>
      </c>
      <c r="F79" s="18">
        <v>176.04545454545453</v>
      </c>
      <c r="G79" s="13">
        <v>196.5</v>
      </c>
      <c r="H79" s="18">
        <v>745.54631058073369</v>
      </c>
      <c r="I79" s="13" t="e">
        <f t="shared" si="1"/>
        <v>#REF!</v>
      </c>
    </row>
    <row r="80" spans="1:9" x14ac:dyDescent="0.25">
      <c r="A80" s="17" t="e">
        <f>+MATCH($B80,#REF!,0)</f>
        <v>#REF!</v>
      </c>
      <c r="B80" s="1" t="s">
        <v>450</v>
      </c>
      <c r="C80" s="13">
        <v>18</v>
      </c>
      <c r="D80" s="13">
        <v>15</v>
      </c>
      <c r="E80" s="13">
        <v>201</v>
      </c>
      <c r="F80" s="18">
        <v>105.36363636363636</v>
      </c>
      <c r="G80" s="13">
        <v>107</v>
      </c>
      <c r="H80" s="18">
        <v>740.99999999999909</v>
      </c>
      <c r="I80" s="13" t="e">
        <f t="shared" si="1"/>
        <v>#REF!</v>
      </c>
    </row>
    <row r="81" spans="1:9" x14ac:dyDescent="0.25">
      <c r="A81" s="17" t="e">
        <f>+MATCH($B81,#REF!,0)</f>
        <v>#REF!</v>
      </c>
      <c r="B81" s="1" t="s">
        <v>429</v>
      </c>
      <c r="C81" s="13">
        <v>10</v>
      </c>
      <c r="D81" s="13">
        <v>173</v>
      </c>
      <c r="E81" s="13">
        <v>249</v>
      </c>
      <c r="F81" s="18">
        <v>224.04545454545453</v>
      </c>
      <c r="G81" s="13">
        <v>222</v>
      </c>
      <c r="H81" s="18">
        <v>738.9457046311004</v>
      </c>
      <c r="I81" s="13" t="e">
        <f t="shared" si="1"/>
        <v>#REF!</v>
      </c>
    </row>
    <row r="82" spans="1:9" x14ac:dyDescent="0.25">
      <c r="A82" s="17" t="e">
        <f>+MATCH($B82,#REF!,0)</f>
        <v>#REF!</v>
      </c>
      <c r="B82" s="1" t="s">
        <v>375</v>
      </c>
      <c r="C82" s="13">
        <v>19</v>
      </c>
      <c r="D82" s="13">
        <v>1</v>
      </c>
      <c r="E82" s="13">
        <v>49</v>
      </c>
      <c r="F82" s="18">
        <v>34.363636363636367</v>
      </c>
      <c r="G82" s="13">
        <v>38.5</v>
      </c>
      <c r="H82" s="18">
        <v>737.70715055419225</v>
      </c>
      <c r="I82" s="13" t="e">
        <f t="shared" si="1"/>
        <v>#REF!</v>
      </c>
    </row>
    <row r="83" spans="1:9" x14ac:dyDescent="0.25">
      <c r="A83" s="17" t="e">
        <f>+MATCH($B83,#REF!,0)</f>
        <v>#REF!</v>
      </c>
      <c r="B83" s="1" t="s">
        <v>253</v>
      </c>
      <c r="C83" s="13">
        <v>18</v>
      </c>
      <c r="D83" s="13">
        <v>41</v>
      </c>
      <c r="E83" s="13">
        <v>206</v>
      </c>
      <c r="F83" s="18">
        <v>126.63636363636364</v>
      </c>
      <c r="G83" s="13">
        <v>136</v>
      </c>
      <c r="H83" s="18">
        <v>733.20000000000073</v>
      </c>
      <c r="I83" s="13" t="e">
        <f t="shared" si="1"/>
        <v>#REF!</v>
      </c>
    </row>
    <row r="84" spans="1:9" x14ac:dyDescent="0.25">
      <c r="A84" s="17" t="e">
        <f>+MATCH($B84,#REF!,0)</f>
        <v>#REF!</v>
      </c>
      <c r="B84" s="1" t="s">
        <v>311</v>
      </c>
      <c r="C84" s="13">
        <v>18</v>
      </c>
      <c r="D84" s="13">
        <v>29</v>
      </c>
      <c r="E84" s="13">
        <v>196</v>
      </c>
      <c r="F84" s="18">
        <v>66.545454545454547</v>
      </c>
      <c r="G84" s="13">
        <v>38.5</v>
      </c>
      <c r="H84" s="18">
        <v>705.20000000000027</v>
      </c>
      <c r="I84" s="13" t="e">
        <f t="shared" si="1"/>
        <v>#REF!</v>
      </c>
    </row>
    <row r="85" spans="1:9" x14ac:dyDescent="0.25">
      <c r="A85" s="17" t="e">
        <f>+MATCH($B85,#REF!,0)</f>
        <v>#REF!</v>
      </c>
      <c r="B85" s="1" t="s">
        <v>351</v>
      </c>
      <c r="C85" s="13">
        <v>18</v>
      </c>
      <c r="D85" s="13">
        <v>65</v>
      </c>
      <c r="E85" s="13">
        <v>212</v>
      </c>
      <c r="F85" s="18">
        <v>110</v>
      </c>
      <c r="G85" s="13">
        <v>101</v>
      </c>
      <c r="H85" s="18">
        <v>705.19999999999982</v>
      </c>
      <c r="I85" s="13" t="e">
        <f t="shared" si="1"/>
        <v>#REF!</v>
      </c>
    </row>
    <row r="86" spans="1:9" x14ac:dyDescent="0.25">
      <c r="A86" s="17" t="e">
        <f>+MATCH($B86,#REF!,0)</f>
        <v>#REF!</v>
      </c>
      <c r="B86" s="1" t="s">
        <v>303</v>
      </c>
      <c r="C86" s="13">
        <v>17</v>
      </c>
      <c r="D86" s="13">
        <v>32</v>
      </c>
      <c r="E86" s="13">
        <v>198</v>
      </c>
      <c r="F86" s="18">
        <v>88.681818181818187</v>
      </c>
      <c r="G86" s="13">
        <v>78</v>
      </c>
      <c r="H86" s="18">
        <v>704.19999999999993</v>
      </c>
      <c r="I86" s="13" t="e">
        <f t="shared" si="1"/>
        <v>#REF!</v>
      </c>
    </row>
    <row r="87" spans="1:9" x14ac:dyDescent="0.25">
      <c r="A87" s="17" t="e">
        <f>+MATCH($B87,#REF!,0)</f>
        <v>#REF!</v>
      </c>
      <c r="B87" s="1" t="s">
        <v>379</v>
      </c>
      <c r="C87" s="13">
        <v>17</v>
      </c>
      <c r="D87" s="13">
        <v>60</v>
      </c>
      <c r="E87" s="13">
        <v>200</v>
      </c>
      <c r="F87" s="18">
        <v>98.36363636363636</v>
      </c>
      <c r="G87" s="13">
        <v>89.5</v>
      </c>
      <c r="H87" s="18">
        <v>704.19999999999993</v>
      </c>
      <c r="I87" s="13" t="e">
        <f t="shared" si="1"/>
        <v>#REF!</v>
      </c>
    </row>
    <row r="88" spans="1:9" x14ac:dyDescent="0.25">
      <c r="A88" s="17" t="e">
        <f>+MATCH($B88,#REF!,0)</f>
        <v>#REF!</v>
      </c>
      <c r="B88" s="1" t="s">
        <v>413</v>
      </c>
      <c r="C88" s="13">
        <v>17</v>
      </c>
      <c r="D88" s="13">
        <v>61</v>
      </c>
      <c r="E88" s="13">
        <v>196</v>
      </c>
      <c r="F88" s="18">
        <v>97</v>
      </c>
      <c r="G88" s="13">
        <v>88.5</v>
      </c>
      <c r="H88" s="18">
        <v>704.19999999999993</v>
      </c>
      <c r="I88" s="13" t="e">
        <f t="shared" si="1"/>
        <v>#REF!</v>
      </c>
    </row>
    <row r="89" spans="1:9" x14ac:dyDescent="0.25">
      <c r="A89" s="17" t="e">
        <f>+MATCH($B89,#REF!,0)</f>
        <v>#REF!</v>
      </c>
      <c r="B89" s="1" t="s">
        <v>12</v>
      </c>
      <c r="C89" s="13">
        <v>20</v>
      </c>
      <c r="D89" s="13">
        <v>36</v>
      </c>
      <c r="E89" s="13">
        <v>146</v>
      </c>
      <c r="F89" s="18">
        <v>92.272727272727266</v>
      </c>
      <c r="G89" s="13">
        <v>91</v>
      </c>
      <c r="H89" s="18">
        <v>701.69999999999993</v>
      </c>
      <c r="I89" s="13" t="e">
        <f t="shared" si="1"/>
        <v>#REF!</v>
      </c>
    </row>
    <row r="90" spans="1:9" x14ac:dyDescent="0.25">
      <c r="A90" s="17" t="e">
        <f>+MATCH($B90,#REF!,0)</f>
        <v>#REF!</v>
      </c>
      <c r="B90" s="1" t="s">
        <v>402</v>
      </c>
      <c r="C90" s="13">
        <v>20</v>
      </c>
      <c r="D90" s="13">
        <v>5</v>
      </c>
      <c r="E90" s="13">
        <v>99</v>
      </c>
      <c r="F90" s="18">
        <v>42</v>
      </c>
      <c r="G90" s="13">
        <v>33.5</v>
      </c>
      <c r="H90" s="18">
        <v>698.979501651634</v>
      </c>
      <c r="I90" s="13" t="e">
        <f t="shared" si="1"/>
        <v>#REF!</v>
      </c>
    </row>
    <row r="91" spans="1:9" x14ac:dyDescent="0.25">
      <c r="A91" s="17" t="e">
        <f>+MATCH($B91,#REF!,0)</f>
        <v>#REF!</v>
      </c>
      <c r="B91" s="1" t="s">
        <v>234</v>
      </c>
      <c r="C91" s="13">
        <v>20</v>
      </c>
      <c r="D91" s="13">
        <v>2</v>
      </c>
      <c r="E91" s="13">
        <v>136</v>
      </c>
      <c r="F91" s="18">
        <v>52.68181818181818</v>
      </c>
      <c r="G91" s="13">
        <v>47</v>
      </c>
      <c r="H91" s="18">
        <v>697.80786340714712</v>
      </c>
      <c r="I91" s="13" t="e">
        <f t="shared" si="1"/>
        <v>#REF!</v>
      </c>
    </row>
    <row r="92" spans="1:9" x14ac:dyDescent="0.25">
      <c r="A92" s="17" t="e">
        <f>+MATCH($B92,#REF!,0)</f>
        <v>#REF!</v>
      </c>
      <c r="B92" s="1" t="s">
        <v>288</v>
      </c>
      <c r="C92" s="13">
        <v>14</v>
      </c>
      <c r="D92" s="13">
        <v>18</v>
      </c>
      <c r="E92" s="13">
        <v>200</v>
      </c>
      <c r="F92" s="18">
        <v>164.68181818181819</v>
      </c>
      <c r="G92" s="13">
        <v>176</v>
      </c>
      <c r="H92" s="18">
        <v>696.53541222391505</v>
      </c>
      <c r="I92" s="13" t="e">
        <f t="shared" si="1"/>
        <v>#REF!</v>
      </c>
    </row>
    <row r="93" spans="1:9" x14ac:dyDescent="0.25">
      <c r="A93" s="17" t="e">
        <f>+MATCH($B93,#REF!,0)</f>
        <v>#REF!</v>
      </c>
      <c r="B93" s="1" t="s">
        <v>280</v>
      </c>
      <c r="C93" s="13">
        <v>18</v>
      </c>
      <c r="D93" s="13">
        <v>4</v>
      </c>
      <c r="E93" s="13">
        <v>127</v>
      </c>
      <c r="F93" s="18">
        <v>87.090909090909093</v>
      </c>
      <c r="G93" s="13">
        <v>98.5</v>
      </c>
      <c r="H93" s="18">
        <v>682.10715055419223</v>
      </c>
      <c r="I93" s="13" t="e">
        <f t="shared" si="1"/>
        <v>#REF!</v>
      </c>
    </row>
    <row r="94" spans="1:9" x14ac:dyDescent="0.25">
      <c r="A94" s="17" t="e">
        <f>+MATCH($B94,#REF!,0)</f>
        <v>#REF!</v>
      </c>
      <c r="B94" s="1" t="s">
        <v>381</v>
      </c>
      <c r="C94" s="13">
        <v>13</v>
      </c>
      <c r="D94" s="13">
        <v>9</v>
      </c>
      <c r="E94" s="13">
        <v>161</v>
      </c>
      <c r="F94" s="18">
        <v>105</v>
      </c>
      <c r="G94" s="13">
        <v>117</v>
      </c>
      <c r="H94" s="18">
        <v>682.09999999999991</v>
      </c>
      <c r="I94" s="13" t="e">
        <f t="shared" si="1"/>
        <v>#REF!</v>
      </c>
    </row>
    <row r="95" spans="1:9" x14ac:dyDescent="0.25">
      <c r="A95" s="17" t="e">
        <f>+MATCH($B95,#REF!,0)</f>
        <v>#REF!</v>
      </c>
      <c r="B95" s="1" t="s">
        <v>384</v>
      </c>
      <c r="C95" s="13">
        <v>19</v>
      </c>
      <c r="D95" s="13">
        <v>14</v>
      </c>
      <c r="E95" s="13">
        <v>133</v>
      </c>
      <c r="F95" s="18">
        <v>30.818181818181817</v>
      </c>
      <c r="G95" s="13">
        <v>19</v>
      </c>
      <c r="H95" s="18">
        <v>682.00715055419232</v>
      </c>
      <c r="I95" s="13" t="e">
        <f t="shared" si="1"/>
        <v>#REF!</v>
      </c>
    </row>
    <row r="96" spans="1:9" x14ac:dyDescent="0.25">
      <c r="A96" s="17" t="e">
        <f>+MATCH($B96,#REF!,0)</f>
        <v>#REF!</v>
      </c>
      <c r="B96" s="1" t="s">
        <v>433</v>
      </c>
      <c r="C96" s="13">
        <v>16</v>
      </c>
      <c r="D96" s="13">
        <v>117</v>
      </c>
      <c r="E96" s="13">
        <v>260</v>
      </c>
      <c r="F96" s="18">
        <v>199.86363636363637</v>
      </c>
      <c r="G96" s="13">
        <v>199</v>
      </c>
      <c r="H96" s="18">
        <v>680.80679774997895</v>
      </c>
      <c r="I96" s="13" t="e">
        <f t="shared" si="1"/>
        <v>#REF!</v>
      </c>
    </row>
    <row r="97" spans="1:9" x14ac:dyDescent="0.25">
      <c r="A97" s="17" t="e">
        <f>+MATCH($B97,#REF!,0)</f>
        <v>#REF!</v>
      </c>
      <c r="B97" s="1" t="s">
        <v>111</v>
      </c>
      <c r="C97" s="13">
        <v>21</v>
      </c>
      <c r="D97" s="13">
        <v>13</v>
      </c>
      <c r="E97" s="13">
        <v>179</v>
      </c>
      <c r="F97" s="18">
        <v>70.63636363636364</v>
      </c>
      <c r="G97" s="13">
        <v>68.5</v>
      </c>
      <c r="H97" s="18">
        <v>679.8057204433544</v>
      </c>
      <c r="I97" s="13" t="e">
        <f t="shared" si="1"/>
        <v>#REF!</v>
      </c>
    </row>
    <row r="98" spans="1:9" x14ac:dyDescent="0.25">
      <c r="A98" s="17" t="e">
        <f>+MATCH($B98,#REF!,0)</f>
        <v>#REF!</v>
      </c>
      <c r="B98" s="1" t="s">
        <v>278</v>
      </c>
      <c r="C98" s="13">
        <v>20</v>
      </c>
      <c r="D98" s="13">
        <v>71</v>
      </c>
      <c r="E98" s="13">
        <v>232</v>
      </c>
      <c r="F98" s="18">
        <v>150.90909090909091</v>
      </c>
      <c r="G98" s="13">
        <v>148.5</v>
      </c>
      <c r="H98" s="18">
        <v>679.80572044335349</v>
      </c>
      <c r="I98" s="13" t="e">
        <f t="shared" si="1"/>
        <v>#REF!</v>
      </c>
    </row>
    <row r="99" spans="1:9" x14ac:dyDescent="0.25">
      <c r="A99" s="17" t="e">
        <f>+MATCH($B99,#REF!,0)</f>
        <v>#REF!</v>
      </c>
      <c r="B99" s="1" t="s">
        <v>355</v>
      </c>
      <c r="C99" s="13">
        <v>22</v>
      </c>
      <c r="D99" s="13">
        <v>1</v>
      </c>
      <c r="E99" s="13">
        <v>65</v>
      </c>
      <c r="F99" s="18">
        <v>17.045454545454547</v>
      </c>
      <c r="G99" s="13">
        <v>15.5</v>
      </c>
      <c r="H99" s="18">
        <v>679.80572044335258</v>
      </c>
      <c r="I99" s="13" t="e">
        <f t="shared" si="1"/>
        <v>#REF!</v>
      </c>
    </row>
    <row r="100" spans="1:9" x14ac:dyDescent="0.25">
      <c r="A100" s="17" t="e">
        <f>+MATCH($B100,#REF!,0)</f>
        <v>#REF!</v>
      </c>
      <c r="B100" s="1" t="s">
        <v>212</v>
      </c>
      <c r="C100" s="13">
        <v>17</v>
      </c>
      <c r="D100" s="13">
        <v>5</v>
      </c>
      <c r="E100" s="13">
        <v>175</v>
      </c>
      <c r="F100" s="18">
        <v>78</v>
      </c>
      <c r="G100" s="13">
        <v>83.5</v>
      </c>
      <c r="H100" s="18">
        <v>677.90786340714703</v>
      </c>
      <c r="I100" s="13" t="e">
        <f t="shared" si="1"/>
        <v>#REF!</v>
      </c>
    </row>
    <row r="101" spans="1:9" x14ac:dyDescent="0.25">
      <c r="A101" s="17" t="e">
        <f>+MATCH($B101,#REF!,0)</f>
        <v>#REF!</v>
      </c>
      <c r="B101" s="1" t="s">
        <v>258</v>
      </c>
      <c r="C101" s="13">
        <v>17</v>
      </c>
      <c r="D101" s="13">
        <v>23</v>
      </c>
      <c r="E101" s="13">
        <v>109</v>
      </c>
      <c r="F101" s="18">
        <v>66.454545454545453</v>
      </c>
      <c r="G101" s="13">
        <v>67</v>
      </c>
      <c r="H101" s="18">
        <v>677.89999999999964</v>
      </c>
      <c r="I101" s="13" t="e">
        <f t="shared" si="1"/>
        <v>#REF!</v>
      </c>
    </row>
    <row r="102" spans="1:9" x14ac:dyDescent="0.25">
      <c r="A102" s="17" t="e">
        <f>+MATCH($B102,#REF!,0)</f>
        <v>#REF!</v>
      </c>
      <c r="B102" s="1" t="s">
        <v>354</v>
      </c>
      <c r="C102" s="13">
        <v>12</v>
      </c>
      <c r="D102" s="13">
        <v>180</v>
      </c>
      <c r="E102" s="13">
        <v>245</v>
      </c>
      <c r="F102" s="18">
        <v>216.54545454545453</v>
      </c>
      <c r="G102" s="13">
        <v>223</v>
      </c>
      <c r="H102" s="18">
        <v>672.6043443409194</v>
      </c>
      <c r="I102" s="13" t="e">
        <f t="shared" si="1"/>
        <v>#REF!</v>
      </c>
    </row>
    <row r="103" spans="1:9" x14ac:dyDescent="0.25">
      <c r="A103" s="17" t="e">
        <f>+MATCH($B103,#REF!,0)</f>
        <v>#REF!</v>
      </c>
      <c r="B103" s="1" t="s">
        <v>275</v>
      </c>
      <c r="C103" s="13">
        <v>17</v>
      </c>
      <c r="D103" s="13">
        <v>78</v>
      </c>
      <c r="E103" s="13">
        <v>188</v>
      </c>
      <c r="F103" s="18">
        <v>125.04545454545455</v>
      </c>
      <c r="G103" s="13">
        <v>119</v>
      </c>
      <c r="H103" s="18">
        <v>666.46726071079593</v>
      </c>
      <c r="I103" s="13" t="e">
        <f t="shared" si="1"/>
        <v>#REF!</v>
      </c>
    </row>
    <row r="104" spans="1:9" x14ac:dyDescent="0.25">
      <c r="A104" s="17" t="e">
        <f>+MATCH($B104,#REF!,0)</f>
        <v>#REF!</v>
      </c>
      <c r="B104" s="1" t="s">
        <v>289</v>
      </c>
      <c r="C104" s="13">
        <v>20</v>
      </c>
      <c r="D104" s="13">
        <v>10</v>
      </c>
      <c r="E104" s="13">
        <v>117</v>
      </c>
      <c r="F104" s="18">
        <v>27.636363636363637</v>
      </c>
      <c r="G104" s="13">
        <v>19.5</v>
      </c>
      <c r="H104" s="18">
        <v>661.10715055419223</v>
      </c>
      <c r="I104" s="13" t="e">
        <f t="shared" si="1"/>
        <v>#REF!</v>
      </c>
    </row>
    <row r="105" spans="1:9" x14ac:dyDescent="0.25">
      <c r="A105" s="17" t="e">
        <f>+MATCH($B105,#REF!,0)</f>
        <v>#REF!</v>
      </c>
      <c r="B105" s="1" t="s">
        <v>302</v>
      </c>
      <c r="C105" s="13">
        <v>15</v>
      </c>
      <c r="D105" s="13">
        <v>141</v>
      </c>
      <c r="E105" s="13">
        <v>234</v>
      </c>
      <c r="F105" s="18">
        <v>208</v>
      </c>
      <c r="G105" s="13">
        <v>224</v>
      </c>
      <c r="H105" s="18">
        <v>659.66152057409818</v>
      </c>
      <c r="I105" s="13" t="e">
        <f t="shared" si="1"/>
        <v>#REF!</v>
      </c>
    </row>
    <row r="106" spans="1:9" x14ac:dyDescent="0.25">
      <c r="A106" s="17" t="e">
        <f>+MATCH($B106,#REF!,0)</f>
        <v>#REF!</v>
      </c>
      <c r="B106" s="1" t="s">
        <v>456</v>
      </c>
      <c r="C106" s="13">
        <v>20</v>
      </c>
      <c r="D106" s="13">
        <v>35</v>
      </c>
      <c r="E106" s="13">
        <v>137</v>
      </c>
      <c r="F106" s="18">
        <v>61.81818181818182</v>
      </c>
      <c r="G106" s="13">
        <v>51</v>
      </c>
      <c r="H106" s="18">
        <v>659</v>
      </c>
      <c r="I106" s="13" t="e">
        <f t="shared" si="1"/>
        <v>#REF!</v>
      </c>
    </row>
    <row r="107" spans="1:9" x14ac:dyDescent="0.25">
      <c r="A107" s="17" t="e">
        <f>+MATCH($B107,#REF!,0)</f>
        <v>#REF!</v>
      </c>
      <c r="B107" s="1" t="s">
        <v>276</v>
      </c>
      <c r="C107" s="13">
        <v>13</v>
      </c>
      <c r="D107" s="13">
        <v>80</v>
      </c>
      <c r="E107" s="13">
        <v>197</v>
      </c>
      <c r="F107" s="18">
        <v>146.31818181818181</v>
      </c>
      <c r="G107" s="13">
        <v>145</v>
      </c>
      <c r="H107" s="18">
        <v>658.99999999999977</v>
      </c>
      <c r="I107" s="13" t="e">
        <f t="shared" si="1"/>
        <v>#REF!</v>
      </c>
    </row>
    <row r="108" spans="1:9" x14ac:dyDescent="0.25">
      <c r="A108" s="17" t="e">
        <f>+MATCH($B108,#REF!,0)</f>
        <v>#REF!</v>
      </c>
      <c r="B108" s="1" t="s">
        <v>235</v>
      </c>
      <c r="C108" s="13">
        <v>20</v>
      </c>
      <c r="D108" s="13">
        <v>14</v>
      </c>
      <c r="E108" s="13">
        <v>76</v>
      </c>
      <c r="F108" s="18">
        <v>45.272727272727273</v>
      </c>
      <c r="G108" s="13">
        <v>46.5</v>
      </c>
      <c r="H108" s="18">
        <v>658.45437001990649</v>
      </c>
      <c r="I108" s="13" t="e">
        <f t="shared" si="1"/>
        <v>#REF!</v>
      </c>
    </row>
    <row r="109" spans="1:9" x14ac:dyDescent="0.25">
      <c r="A109" s="17" t="e">
        <f>+MATCH($B109,#REF!,0)</f>
        <v>#REF!</v>
      </c>
      <c r="B109" s="1" t="s">
        <v>220</v>
      </c>
      <c r="C109" s="13">
        <v>14</v>
      </c>
      <c r="D109" s="13">
        <v>83</v>
      </c>
      <c r="E109" s="13">
        <v>207</v>
      </c>
      <c r="F109" s="18">
        <v>143.90909090909091</v>
      </c>
      <c r="G109" s="13">
        <v>148.5</v>
      </c>
      <c r="H109" s="18">
        <v>656.2</v>
      </c>
      <c r="I109" s="13" t="e">
        <f t="shared" si="1"/>
        <v>#REF!</v>
      </c>
    </row>
    <row r="110" spans="1:9" x14ac:dyDescent="0.25">
      <c r="A110" s="17" t="e">
        <f>+MATCH($B110,#REF!,0)</f>
        <v>#REF!</v>
      </c>
      <c r="B110" s="1" t="s">
        <v>210</v>
      </c>
      <c r="C110" s="13">
        <v>9</v>
      </c>
      <c r="D110" s="13">
        <v>42</v>
      </c>
      <c r="E110" s="13">
        <v>235</v>
      </c>
      <c r="F110" s="18">
        <v>123.36363636363636</v>
      </c>
      <c r="G110" s="13">
        <v>118</v>
      </c>
      <c r="H110" s="18">
        <v>651.20937385569084</v>
      </c>
      <c r="I110" s="13" t="e">
        <f t="shared" si="1"/>
        <v>#REF!</v>
      </c>
    </row>
    <row r="111" spans="1:9" x14ac:dyDescent="0.25">
      <c r="A111" s="17" t="e">
        <f>+MATCH($B111,#REF!,0)</f>
        <v>#REF!</v>
      </c>
      <c r="B111" s="1" t="s">
        <v>378</v>
      </c>
      <c r="C111" s="13">
        <v>18</v>
      </c>
      <c r="D111" s="13">
        <v>33</v>
      </c>
      <c r="E111" s="13">
        <v>197</v>
      </c>
      <c r="F111" s="18">
        <v>113.18181818181819</v>
      </c>
      <c r="G111" s="13">
        <v>107</v>
      </c>
      <c r="H111" s="18">
        <v>648.60000000000036</v>
      </c>
      <c r="I111" s="13" t="e">
        <f t="shared" si="1"/>
        <v>#REF!</v>
      </c>
    </row>
    <row r="112" spans="1:9" x14ac:dyDescent="0.25">
      <c r="A112" s="17" t="e">
        <f>+MATCH($B112,#REF!,0)</f>
        <v>#REF!</v>
      </c>
      <c r="B112" s="1" t="s">
        <v>290</v>
      </c>
      <c r="C112" s="13">
        <v>9</v>
      </c>
      <c r="D112" s="13">
        <v>38</v>
      </c>
      <c r="E112" s="13">
        <v>197</v>
      </c>
      <c r="F112" s="18">
        <v>84.590909090909093</v>
      </c>
      <c r="G112" s="13">
        <v>76</v>
      </c>
      <c r="H112" s="18">
        <v>645.95176136023224</v>
      </c>
      <c r="I112" s="13" t="e">
        <f t="shared" si="1"/>
        <v>#REF!</v>
      </c>
    </row>
    <row r="113" spans="1:9" x14ac:dyDescent="0.25">
      <c r="A113" s="17" t="e">
        <f>+MATCH($B113,#REF!,0)</f>
        <v>#REF!</v>
      </c>
      <c r="B113" s="1" t="s">
        <v>222</v>
      </c>
      <c r="C113" s="13">
        <v>9</v>
      </c>
      <c r="D113" s="13">
        <v>53</v>
      </c>
      <c r="E113" s="13">
        <v>237</v>
      </c>
      <c r="F113" s="18">
        <v>125.31818181818181</v>
      </c>
      <c r="G113" s="13">
        <v>119</v>
      </c>
      <c r="H113" s="18">
        <v>645.95176136023224</v>
      </c>
      <c r="I113" s="13" t="e">
        <f t="shared" si="1"/>
        <v>#REF!</v>
      </c>
    </row>
    <row r="114" spans="1:9" x14ac:dyDescent="0.25">
      <c r="A114" s="17" t="e">
        <f>+MATCH($B114,#REF!,0)</f>
        <v>#REF!</v>
      </c>
      <c r="B114" s="1" t="s">
        <v>345</v>
      </c>
      <c r="C114" s="13">
        <v>21</v>
      </c>
      <c r="D114" s="13">
        <v>57</v>
      </c>
      <c r="E114" s="13">
        <v>195</v>
      </c>
      <c r="F114" s="18">
        <v>102.77272727272727</v>
      </c>
      <c r="G114" s="13">
        <v>85</v>
      </c>
      <c r="H114" s="18">
        <v>645.95176136023201</v>
      </c>
      <c r="I114" s="13" t="e">
        <f t="shared" si="1"/>
        <v>#REF!</v>
      </c>
    </row>
    <row r="115" spans="1:9" x14ac:dyDescent="0.25">
      <c r="A115" s="17" t="e">
        <f>+MATCH($B115,#REF!,0)</f>
        <v>#REF!</v>
      </c>
      <c r="B115" s="1" t="s">
        <v>368</v>
      </c>
      <c r="C115" s="13">
        <v>13</v>
      </c>
      <c r="D115" s="13">
        <v>16</v>
      </c>
      <c r="E115" s="13">
        <v>226</v>
      </c>
      <c r="F115" s="18">
        <v>160.40909090909091</v>
      </c>
      <c r="G115" s="13">
        <v>187</v>
      </c>
      <c r="H115" s="18">
        <v>645.70643549877332</v>
      </c>
      <c r="I115" s="13" t="e">
        <f t="shared" si="1"/>
        <v>#REF!</v>
      </c>
    </row>
    <row r="116" spans="1:9" x14ac:dyDescent="0.25">
      <c r="A116" s="17" t="e">
        <f>+MATCH($B116,#REF!,0)</f>
        <v>#REF!</v>
      </c>
      <c r="B116" s="1" t="s">
        <v>374</v>
      </c>
      <c r="C116" s="13">
        <v>21</v>
      </c>
      <c r="D116" s="13">
        <v>17</v>
      </c>
      <c r="E116" s="13">
        <v>103</v>
      </c>
      <c r="F116" s="18">
        <v>30.954545454545453</v>
      </c>
      <c r="G116" s="13">
        <v>25</v>
      </c>
      <c r="H116" s="18">
        <v>639.94664132137041</v>
      </c>
      <c r="I116" s="13" t="e">
        <f t="shared" si="1"/>
        <v>#REF!</v>
      </c>
    </row>
    <row r="117" spans="1:9" x14ac:dyDescent="0.25">
      <c r="A117" s="17" t="e">
        <f>+MATCH($B117,#REF!,0)</f>
        <v>#REF!</v>
      </c>
      <c r="B117" s="1" t="s">
        <v>9</v>
      </c>
      <c r="C117" s="13">
        <v>20</v>
      </c>
      <c r="D117" s="13">
        <v>18</v>
      </c>
      <c r="E117" s="13">
        <v>136</v>
      </c>
      <c r="F117" s="18">
        <v>55.090909090909093</v>
      </c>
      <c r="G117" s="13">
        <v>47.5</v>
      </c>
      <c r="H117" s="18">
        <v>635.90000000000009</v>
      </c>
      <c r="I117" s="13" t="e">
        <f t="shared" si="1"/>
        <v>#REF!</v>
      </c>
    </row>
    <row r="118" spans="1:9" x14ac:dyDescent="0.25">
      <c r="A118" s="17" t="e">
        <f>+MATCH($B118,#REF!,0)</f>
        <v>#REF!</v>
      </c>
      <c r="B118" s="1" t="s">
        <v>409</v>
      </c>
      <c r="C118" s="13">
        <v>18</v>
      </c>
      <c r="D118" s="13">
        <v>68</v>
      </c>
      <c r="E118" s="13">
        <v>237</v>
      </c>
      <c r="F118" s="18">
        <v>115.27272727272727</v>
      </c>
      <c r="G118" s="13">
        <v>96</v>
      </c>
      <c r="H118" s="18">
        <v>634.9</v>
      </c>
      <c r="I118" s="13" t="e">
        <f t="shared" si="1"/>
        <v>#REF!</v>
      </c>
    </row>
    <row r="119" spans="1:9" x14ac:dyDescent="0.25">
      <c r="A119" s="17" t="e">
        <f>+MATCH($B119,#REF!,0)</f>
        <v>#REF!</v>
      </c>
      <c r="B119" s="1" t="s">
        <v>373</v>
      </c>
      <c r="C119" s="13">
        <v>19</v>
      </c>
      <c r="D119" s="13">
        <v>6</v>
      </c>
      <c r="E119" s="13">
        <v>190</v>
      </c>
      <c r="F119" s="18">
        <v>116.90909090909091</v>
      </c>
      <c r="G119" s="13">
        <v>126</v>
      </c>
      <c r="H119" s="18">
        <v>632.00715055419221</v>
      </c>
      <c r="I119" s="13" t="e">
        <f t="shared" si="1"/>
        <v>#REF!</v>
      </c>
    </row>
    <row r="120" spans="1:9" x14ac:dyDescent="0.25">
      <c r="A120" s="17" t="e">
        <f>+MATCH($B120,#REF!,0)</f>
        <v>#REF!</v>
      </c>
      <c r="B120" s="1" t="s">
        <v>383</v>
      </c>
      <c r="C120" s="13">
        <v>19</v>
      </c>
      <c r="D120" s="13">
        <v>36</v>
      </c>
      <c r="E120" s="13">
        <v>243</v>
      </c>
      <c r="F120" s="18">
        <v>100.72727272727273</v>
      </c>
      <c r="G120" s="13">
        <v>63.5</v>
      </c>
      <c r="H120" s="18">
        <v>631.27629842312717</v>
      </c>
      <c r="I120" s="13" t="e">
        <f t="shared" si="1"/>
        <v>#REF!</v>
      </c>
    </row>
    <row r="121" spans="1:9" x14ac:dyDescent="0.25">
      <c r="A121" s="17" t="e">
        <f>+MATCH($B121,#REF!,0)</f>
        <v>#REF!</v>
      </c>
      <c r="B121" s="1" t="s">
        <v>261</v>
      </c>
      <c r="C121" s="13">
        <v>13</v>
      </c>
      <c r="D121" s="13">
        <v>130</v>
      </c>
      <c r="E121" s="13">
        <v>249</v>
      </c>
      <c r="F121" s="18">
        <v>224.18181818181819</v>
      </c>
      <c r="G121" s="13">
        <v>233</v>
      </c>
      <c r="H121" s="18">
        <v>620.44086899556351</v>
      </c>
      <c r="I121" s="13" t="e">
        <f t="shared" si="1"/>
        <v>#REF!</v>
      </c>
    </row>
    <row r="122" spans="1:9" x14ac:dyDescent="0.25">
      <c r="A122" s="17" t="e">
        <f>+MATCH($B122,#REF!,0)</f>
        <v>#REF!</v>
      </c>
      <c r="B122" s="1" t="s">
        <v>444</v>
      </c>
      <c r="C122" s="13">
        <v>18</v>
      </c>
      <c r="D122" s="13">
        <v>144</v>
      </c>
      <c r="E122" s="13">
        <v>247</v>
      </c>
      <c r="F122" s="18">
        <v>199.04545454545453</v>
      </c>
      <c r="G122" s="13">
        <v>195</v>
      </c>
      <c r="H122" s="18">
        <v>620.44086899556305</v>
      </c>
      <c r="I122" s="13" t="e">
        <f t="shared" si="1"/>
        <v>#REF!</v>
      </c>
    </row>
    <row r="123" spans="1:9" x14ac:dyDescent="0.25">
      <c r="A123" s="17" t="e">
        <f>+MATCH($B123,#REF!,0)</f>
        <v>#REF!</v>
      </c>
      <c r="B123" s="1" t="s">
        <v>416</v>
      </c>
      <c r="C123" s="13">
        <v>19</v>
      </c>
      <c r="D123" s="13">
        <v>39</v>
      </c>
      <c r="E123" s="13">
        <v>135</v>
      </c>
      <c r="F123" s="18">
        <v>56.363636363636367</v>
      </c>
      <c r="G123" s="13">
        <v>50</v>
      </c>
      <c r="H123" s="18">
        <v>620</v>
      </c>
      <c r="I123" s="13" t="e">
        <f t="shared" si="1"/>
        <v>#REF!</v>
      </c>
    </row>
    <row r="124" spans="1:9" x14ac:dyDescent="0.25">
      <c r="A124" s="17" t="e">
        <f>+MATCH($B124,#REF!,0)</f>
        <v>#REF!</v>
      </c>
      <c r="B124" s="1" t="s">
        <v>201</v>
      </c>
      <c r="C124" s="13">
        <v>19</v>
      </c>
      <c r="D124" s="13">
        <v>60</v>
      </c>
      <c r="E124" s="13">
        <v>140</v>
      </c>
      <c r="F124" s="18">
        <v>79.86363636363636</v>
      </c>
      <c r="G124" s="13">
        <v>73.5</v>
      </c>
      <c r="H124" s="18">
        <v>620</v>
      </c>
      <c r="I124" s="13" t="e">
        <f t="shared" si="1"/>
        <v>#REF!</v>
      </c>
    </row>
    <row r="125" spans="1:9" x14ac:dyDescent="0.25">
      <c r="A125" s="17" t="e">
        <f>+MATCH($B125,#REF!,0)</f>
        <v>#REF!</v>
      </c>
      <c r="B125" s="1" t="s">
        <v>321</v>
      </c>
      <c r="C125" s="13">
        <v>10</v>
      </c>
      <c r="D125" s="13">
        <v>225</v>
      </c>
      <c r="E125" s="13">
        <v>257</v>
      </c>
      <c r="F125" s="18">
        <v>248.90909090909091</v>
      </c>
      <c r="G125" s="13">
        <v>252.5</v>
      </c>
      <c r="H125" s="18">
        <v>615.68395848260093</v>
      </c>
      <c r="I125" s="13" t="e">
        <f t="shared" si="1"/>
        <v>#REF!</v>
      </c>
    </row>
    <row r="126" spans="1:9" x14ac:dyDescent="0.25">
      <c r="A126" s="17" t="e">
        <f>+MATCH($B126,#REF!,0)</f>
        <v>#REF!</v>
      </c>
      <c r="B126" s="1" t="s">
        <v>394</v>
      </c>
      <c r="C126" s="13">
        <v>15</v>
      </c>
      <c r="D126" s="13">
        <v>63</v>
      </c>
      <c r="E126" s="13">
        <v>246</v>
      </c>
      <c r="F126" s="18">
        <v>175.13636363636363</v>
      </c>
      <c r="G126" s="13">
        <v>192</v>
      </c>
      <c r="H126" s="18">
        <v>615.6839584826007</v>
      </c>
      <c r="I126" s="13" t="e">
        <f t="shared" si="1"/>
        <v>#REF!</v>
      </c>
    </row>
    <row r="127" spans="1:9" x14ac:dyDescent="0.25">
      <c r="A127" s="17" t="e">
        <f>+MATCH($B127,#REF!,0)</f>
        <v>#REF!</v>
      </c>
      <c r="B127" s="1" t="s">
        <v>238</v>
      </c>
      <c r="C127" s="13">
        <v>18</v>
      </c>
      <c r="D127" s="13">
        <v>7</v>
      </c>
      <c r="E127" s="13">
        <v>191</v>
      </c>
      <c r="F127" s="18">
        <v>138.5</v>
      </c>
      <c r="G127" s="13">
        <v>153</v>
      </c>
      <c r="H127" s="18">
        <v>612.10715055419223</v>
      </c>
      <c r="I127" s="13" t="e">
        <f t="shared" si="1"/>
        <v>#REF!</v>
      </c>
    </row>
    <row r="128" spans="1:9" x14ac:dyDescent="0.25">
      <c r="A128" s="17" t="e">
        <f>+MATCH($B128,#REF!,0)</f>
        <v>#REF!</v>
      </c>
      <c r="B128" s="1" t="s">
        <v>330</v>
      </c>
      <c r="C128" s="13">
        <v>16</v>
      </c>
      <c r="D128" s="13">
        <v>168</v>
      </c>
      <c r="E128" s="13">
        <v>246</v>
      </c>
      <c r="F128" s="18">
        <v>205.72727272727272</v>
      </c>
      <c r="G128" s="13">
        <v>203.5</v>
      </c>
      <c r="H128" s="18">
        <v>610.70679774997893</v>
      </c>
      <c r="I128" s="13" t="e">
        <f t="shared" si="1"/>
        <v>#REF!</v>
      </c>
    </row>
    <row r="129" spans="1:9" x14ac:dyDescent="0.25">
      <c r="A129" s="17" t="e">
        <f>+MATCH($B129,#REF!,0)</f>
        <v>#REF!</v>
      </c>
      <c r="B129" s="1" t="s">
        <v>392</v>
      </c>
      <c r="C129" s="13">
        <v>13</v>
      </c>
      <c r="D129" s="13">
        <v>128</v>
      </c>
      <c r="E129" s="13">
        <v>226</v>
      </c>
      <c r="F129" s="18">
        <v>189.72727272727272</v>
      </c>
      <c r="G129" s="13">
        <v>197</v>
      </c>
      <c r="H129" s="18">
        <v>610</v>
      </c>
      <c r="I129" s="13" t="e">
        <f t="shared" si="1"/>
        <v>#REF!</v>
      </c>
    </row>
    <row r="130" spans="1:9" x14ac:dyDescent="0.25">
      <c r="A130" s="17" t="e">
        <f>+MATCH($B130,#REF!,0)</f>
        <v>#REF!</v>
      </c>
      <c r="B130" s="1" t="s">
        <v>274</v>
      </c>
      <c r="C130" s="13">
        <v>3</v>
      </c>
      <c r="D130" s="13">
        <v>36</v>
      </c>
      <c r="E130" s="13">
        <v>259</v>
      </c>
      <c r="F130" s="18">
        <v>229.59090909090909</v>
      </c>
      <c r="G130" s="13">
        <v>253.5</v>
      </c>
      <c r="H130" s="18">
        <v>606.57872231982981</v>
      </c>
      <c r="I130" s="13" t="e">
        <f t="shared" si="1"/>
        <v>#REF!</v>
      </c>
    </row>
    <row r="131" spans="1:9" x14ac:dyDescent="0.25">
      <c r="A131" s="17" t="e">
        <f>+MATCH($B131,#REF!,0)</f>
        <v>#REF!</v>
      </c>
      <c r="B131" s="1" t="s">
        <v>213</v>
      </c>
      <c r="C131" s="13">
        <v>19</v>
      </c>
      <c r="D131" s="13">
        <v>7</v>
      </c>
      <c r="E131" s="13">
        <v>147</v>
      </c>
      <c r="F131" s="18">
        <v>100.68181818181819</v>
      </c>
      <c r="G131" s="13">
        <v>125.5</v>
      </c>
      <c r="H131" s="18">
        <v>606.57872231982969</v>
      </c>
      <c r="I131" s="13" t="e">
        <f t="shared" si="1"/>
        <v>#REF!</v>
      </c>
    </row>
    <row r="132" spans="1:9" x14ac:dyDescent="0.25">
      <c r="A132" s="17" t="e">
        <f>+MATCH($B132,#REF!,0)</f>
        <v>#REF!</v>
      </c>
      <c r="B132" s="1" t="s">
        <v>340</v>
      </c>
      <c r="C132" s="13">
        <v>18</v>
      </c>
      <c r="D132" s="13">
        <v>31</v>
      </c>
      <c r="E132" s="13">
        <v>195</v>
      </c>
      <c r="F132" s="18">
        <v>75.86363636363636</v>
      </c>
      <c r="G132" s="13">
        <v>58.5</v>
      </c>
      <c r="H132" s="18">
        <v>605.59999999999991</v>
      </c>
      <c r="I132" s="13" t="e">
        <f t="shared" ref="I132:I195" si="2">MAX(0,A132-G132)</f>
        <v>#REF!</v>
      </c>
    </row>
    <row r="133" spans="1:9" x14ac:dyDescent="0.25">
      <c r="A133" s="17" t="e">
        <f>+MATCH($B133,#REF!,0)</f>
        <v>#REF!</v>
      </c>
      <c r="B133" s="1" t="s">
        <v>366</v>
      </c>
      <c r="C133" s="13">
        <v>18</v>
      </c>
      <c r="D133" s="13">
        <v>38</v>
      </c>
      <c r="E133" s="13">
        <v>194</v>
      </c>
      <c r="F133" s="18">
        <v>68.409090909090907</v>
      </c>
      <c r="G133" s="13">
        <v>51.5</v>
      </c>
      <c r="H133" s="18">
        <v>605.59999999999991</v>
      </c>
      <c r="I133" s="13" t="e">
        <f t="shared" si="2"/>
        <v>#REF!</v>
      </c>
    </row>
    <row r="134" spans="1:9" x14ac:dyDescent="0.25">
      <c r="A134" s="17" t="e">
        <f>+MATCH($B134,#REF!,0)</f>
        <v>#REF!</v>
      </c>
      <c r="B134" s="1" t="s">
        <v>435</v>
      </c>
      <c r="C134" s="13">
        <v>18</v>
      </c>
      <c r="D134" s="13">
        <v>132</v>
      </c>
      <c r="E134" s="13">
        <v>253</v>
      </c>
      <c r="F134" s="18">
        <v>223.04545454545453</v>
      </c>
      <c r="G134" s="13">
        <v>238</v>
      </c>
      <c r="H134" s="18">
        <v>604.50715055419232</v>
      </c>
      <c r="I134" s="13" t="e">
        <f t="shared" si="2"/>
        <v>#REF!</v>
      </c>
    </row>
    <row r="135" spans="1:9" x14ac:dyDescent="0.25">
      <c r="A135" s="17" t="e">
        <f>+MATCH($B135,#REF!,0)</f>
        <v>#REF!</v>
      </c>
      <c r="B135" s="1" t="s">
        <v>237</v>
      </c>
      <c r="C135" s="13">
        <v>21</v>
      </c>
      <c r="D135" s="13">
        <v>52</v>
      </c>
      <c r="E135" s="13">
        <v>204</v>
      </c>
      <c r="F135" s="18">
        <v>163.81818181818181</v>
      </c>
      <c r="G135" s="13">
        <v>175</v>
      </c>
      <c r="H135" s="18">
        <v>604.50715055419187</v>
      </c>
      <c r="I135" s="13" t="e">
        <f t="shared" si="2"/>
        <v>#REF!</v>
      </c>
    </row>
    <row r="136" spans="1:9" x14ac:dyDescent="0.25">
      <c r="A136" s="17" t="e">
        <f>+MATCH($B136,#REF!,0)</f>
        <v>#REF!</v>
      </c>
      <c r="B136" s="1" t="s">
        <v>451</v>
      </c>
      <c r="C136" s="13">
        <v>18</v>
      </c>
      <c r="D136" s="13">
        <v>51</v>
      </c>
      <c r="E136" s="13">
        <v>205</v>
      </c>
      <c r="F136" s="18">
        <v>82.590909090909093</v>
      </c>
      <c r="G136" s="13">
        <v>67</v>
      </c>
      <c r="H136" s="18">
        <v>603.37919806153081</v>
      </c>
      <c r="I136" s="13" t="e">
        <f t="shared" si="2"/>
        <v>#REF!</v>
      </c>
    </row>
    <row r="137" spans="1:9" x14ac:dyDescent="0.25">
      <c r="A137" s="17" t="e">
        <f>+MATCH($B137,#REF!,0)</f>
        <v>#REF!</v>
      </c>
      <c r="B137" s="1" t="s">
        <v>252</v>
      </c>
      <c r="C137" s="13">
        <v>18</v>
      </c>
      <c r="D137" s="13">
        <v>28</v>
      </c>
      <c r="E137" s="13">
        <v>196</v>
      </c>
      <c r="F137" s="18">
        <v>121.31818181818181</v>
      </c>
      <c r="G137" s="13">
        <v>135</v>
      </c>
      <c r="H137" s="18">
        <v>597.09328264274041</v>
      </c>
      <c r="I137" s="13" t="e">
        <f t="shared" si="2"/>
        <v>#REF!</v>
      </c>
    </row>
    <row r="138" spans="1:9" x14ac:dyDescent="0.25">
      <c r="A138" s="17" t="e">
        <f>+MATCH($B138,#REF!,0)</f>
        <v>#REF!</v>
      </c>
      <c r="B138" s="1" t="s">
        <v>224</v>
      </c>
      <c r="C138" s="13">
        <v>17</v>
      </c>
      <c r="D138" s="13">
        <v>30</v>
      </c>
      <c r="E138" s="13">
        <v>207</v>
      </c>
      <c r="F138" s="18">
        <v>133.90909090909091</v>
      </c>
      <c r="G138" s="13">
        <v>148</v>
      </c>
      <c r="H138" s="18">
        <v>597.09328264274041</v>
      </c>
      <c r="I138" s="13" t="e">
        <f t="shared" si="2"/>
        <v>#REF!</v>
      </c>
    </row>
    <row r="139" spans="1:9" x14ac:dyDescent="0.25">
      <c r="A139" s="17" t="e">
        <f>+MATCH($B139,#REF!,0)</f>
        <v>#REF!</v>
      </c>
      <c r="B139" s="1" t="s">
        <v>315</v>
      </c>
      <c r="C139" s="13">
        <v>13</v>
      </c>
      <c r="D139" s="13">
        <v>31</v>
      </c>
      <c r="E139" s="13">
        <v>226</v>
      </c>
      <c r="F139" s="18">
        <v>150.36363636363637</v>
      </c>
      <c r="G139" s="13">
        <v>176.5</v>
      </c>
      <c r="H139" s="18">
        <v>597.09328264274041</v>
      </c>
      <c r="I139" s="13" t="e">
        <f t="shared" si="2"/>
        <v>#REF!</v>
      </c>
    </row>
    <row r="140" spans="1:9" x14ac:dyDescent="0.25">
      <c r="A140" s="17" t="e">
        <f>+MATCH($B140,#REF!,0)</f>
        <v>#REF!</v>
      </c>
      <c r="B140" s="1" t="s">
        <v>414</v>
      </c>
      <c r="C140" s="13">
        <v>18</v>
      </c>
      <c r="D140" s="13">
        <v>25</v>
      </c>
      <c r="E140" s="13">
        <v>216</v>
      </c>
      <c r="F140" s="18">
        <v>173.09090909090909</v>
      </c>
      <c r="G140" s="13">
        <v>196</v>
      </c>
      <c r="H140" s="18">
        <v>597.09328264274041</v>
      </c>
      <c r="I140" s="13" t="e">
        <f t="shared" si="2"/>
        <v>#REF!</v>
      </c>
    </row>
    <row r="141" spans="1:9" x14ac:dyDescent="0.25">
      <c r="A141" s="17" t="e">
        <f>+MATCH($B141,#REF!,0)</f>
        <v>#REF!</v>
      </c>
      <c r="B141" s="1" t="s">
        <v>405</v>
      </c>
      <c r="C141" s="13">
        <v>5</v>
      </c>
      <c r="D141" s="13">
        <v>37</v>
      </c>
      <c r="E141" s="13">
        <v>253</v>
      </c>
      <c r="F141" s="18">
        <v>207.90909090909091</v>
      </c>
      <c r="G141" s="13">
        <v>223.5</v>
      </c>
      <c r="H141" s="18">
        <v>597.09328264274041</v>
      </c>
      <c r="I141" s="13" t="e">
        <f t="shared" si="2"/>
        <v>#REF!</v>
      </c>
    </row>
    <row r="142" spans="1:9" x14ac:dyDescent="0.25">
      <c r="A142" s="17" t="e">
        <f>+MATCH($B142,#REF!,0)</f>
        <v>#REF!</v>
      </c>
      <c r="B142" s="1" t="s">
        <v>370</v>
      </c>
      <c r="C142" s="13">
        <v>13</v>
      </c>
      <c r="D142" s="13">
        <v>15</v>
      </c>
      <c r="E142" s="13">
        <v>236</v>
      </c>
      <c r="F142" s="18">
        <v>191</v>
      </c>
      <c r="G142" s="13">
        <v>214</v>
      </c>
      <c r="H142" s="18">
        <v>587.52160809636246</v>
      </c>
      <c r="I142" s="13" t="e">
        <f t="shared" si="2"/>
        <v>#REF!</v>
      </c>
    </row>
    <row r="143" spans="1:9" x14ac:dyDescent="0.25">
      <c r="A143" s="17" t="e">
        <f>+MATCH($B143,#REF!,0)</f>
        <v>#REF!</v>
      </c>
      <c r="B143" s="1" t="s">
        <v>418</v>
      </c>
      <c r="C143" s="13">
        <v>16</v>
      </c>
      <c r="D143" s="13">
        <v>57</v>
      </c>
      <c r="E143" s="13">
        <v>241</v>
      </c>
      <c r="F143" s="18">
        <v>211.18181818181819</v>
      </c>
      <c r="G143" s="13">
        <v>229.5</v>
      </c>
      <c r="H143" s="18">
        <v>587.52160809636234</v>
      </c>
      <c r="I143" s="13" t="e">
        <f t="shared" si="2"/>
        <v>#REF!</v>
      </c>
    </row>
    <row r="144" spans="1:9" x14ac:dyDescent="0.25">
      <c r="A144" s="17" t="e">
        <f>+MATCH($B144,#REF!,0)</f>
        <v>#REF!</v>
      </c>
      <c r="B144" s="1" t="s">
        <v>217</v>
      </c>
      <c r="C144" s="13">
        <v>13</v>
      </c>
      <c r="D144" s="13">
        <v>13</v>
      </c>
      <c r="E144" s="13">
        <v>195</v>
      </c>
      <c r="F144" s="18">
        <v>144.81818181818181</v>
      </c>
      <c r="G144" s="13">
        <v>157</v>
      </c>
      <c r="H144" s="18">
        <v>583.36726071079556</v>
      </c>
      <c r="I144" s="13" t="e">
        <f t="shared" si="2"/>
        <v>#REF!</v>
      </c>
    </row>
    <row r="145" spans="1:9" x14ac:dyDescent="0.25">
      <c r="A145" s="17" t="e">
        <f>+MATCH($B145,#REF!,0)</f>
        <v>#REF!</v>
      </c>
      <c r="B145" s="1" t="s">
        <v>364</v>
      </c>
      <c r="C145" s="13">
        <v>18</v>
      </c>
      <c r="D145" s="13">
        <v>160</v>
      </c>
      <c r="E145" s="13">
        <v>252</v>
      </c>
      <c r="F145" s="18">
        <v>195.31818181818181</v>
      </c>
      <c r="G145" s="13">
        <v>191.5</v>
      </c>
      <c r="H145" s="18">
        <v>571.95810475093185</v>
      </c>
      <c r="I145" s="13" t="e">
        <f t="shared" si="2"/>
        <v>#REF!</v>
      </c>
    </row>
    <row r="146" spans="1:9" x14ac:dyDescent="0.25">
      <c r="A146" s="17" t="e">
        <f>+MATCH($B146,#REF!,0)</f>
        <v>#REF!</v>
      </c>
      <c r="B146" s="1" t="s">
        <v>233</v>
      </c>
      <c r="C146" s="13">
        <v>20</v>
      </c>
      <c r="D146" s="13">
        <v>65</v>
      </c>
      <c r="E146" s="13">
        <v>194</v>
      </c>
      <c r="F146" s="18">
        <v>125.18181818181819</v>
      </c>
      <c r="G146" s="13">
        <v>106</v>
      </c>
      <c r="H146" s="18">
        <v>571.60000000000014</v>
      </c>
      <c r="I146" s="13" t="e">
        <f t="shared" si="2"/>
        <v>#REF!</v>
      </c>
    </row>
    <row r="147" spans="1:9" x14ac:dyDescent="0.25">
      <c r="A147" s="17" t="e">
        <f>+MATCH($B147,#REF!,0)</f>
        <v>#REF!</v>
      </c>
      <c r="B147" s="1" t="s">
        <v>207</v>
      </c>
      <c r="C147" s="13">
        <v>20</v>
      </c>
      <c r="D147" s="13">
        <v>48</v>
      </c>
      <c r="E147" s="13">
        <v>139</v>
      </c>
      <c r="F147" s="18">
        <v>101.04545454545455</v>
      </c>
      <c r="G147" s="13">
        <v>97</v>
      </c>
      <c r="H147" s="18">
        <v>570.10000000000036</v>
      </c>
      <c r="I147" s="13" t="e">
        <f t="shared" si="2"/>
        <v>#REF!</v>
      </c>
    </row>
    <row r="148" spans="1:9" x14ac:dyDescent="0.25">
      <c r="A148" s="17" t="e">
        <f>+MATCH($B148,#REF!,0)</f>
        <v>#REF!</v>
      </c>
      <c r="B148" s="1" t="s">
        <v>317</v>
      </c>
      <c r="C148" s="13">
        <v>19</v>
      </c>
      <c r="D148" s="13">
        <v>96</v>
      </c>
      <c r="E148" s="13">
        <v>198</v>
      </c>
      <c r="F148" s="18">
        <v>133.31818181818181</v>
      </c>
      <c r="G148" s="13">
        <v>129</v>
      </c>
      <c r="H148" s="18">
        <v>570.09999999999991</v>
      </c>
      <c r="I148" s="13" t="e">
        <f t="shared" si="2"/>
        <v>#REF!</v>
      </c>
    </row>
    <row r="149" spans="1:9" x14ac:dyDescent="0.25">
      <c r="A149" s="17" t="e">
        <f>+MATCH($B149,#REF!,0)</f>
        <v>#REF!</v>
      </c>
      <c r="B149" s="1" t="s">
        <v>295</v>
      </c>
      <c r="C149" s="13">
        <v>17</v>
      </c>
      <c r="D149" s="13">
        <v>101</v>
      </c>
      <c r="E149" s="13">
        <v>204</v>
      </c>
      <c r="F149" s="18">
        <v>144.59090909090909</v>
      </c>
      <c r="G149" s="13">
        <v>144</v>
      </c>
      <c r="H149" s="18">
        <v>566.5</v>
      </c>
      <c r="I149" s="13" t="e">
        <f t="shared" si="2"/>
        <v>#REF!</v>
      </c>
    </row>
    <row r="150" spans="1:9" x14ac:dyDescent="0.25">
      <c r="A150" s="17" t="e">
        <f>+MATCH($B150,#REF!,0)</f>
        <v>#REF!</v>
      </c>
      <c r="B150" s="1" t="s">
        <v>259</v>
      </c>
      <c r="C150" s="13">
        <v>19</v>
      </c>
      <c r="D150" s="13">
        <v>16</v>
      </c>
      <c r="E150" s="13">
        <v>77</v>
      </c>
      <c r="F150" s="18">
        <v>37</v>
      </c>
      <c r="G150" s="13">
        <v>33</v>
      </c>
      <c r="H150" s="18">
        <v>566.49999999999977</v>
      </c>
      <c r="I150" s="13" t="e">
        <f t="shared" si="2"/>
        <v>#REF!</v>
      </c>
    </row>
    <row r="151" spans="1:9" x14ac:dyDescent="0.25">
      <c r="A151" s="17" t="e">
        <f>+MATCH($B151,#REF!,0)</f>
        <v>#REF!</v>
      </c>
      <c r="B151" s="1" t="s">
        <v>411</v>
      </c>
      <c r="C151" s="13">
        <v>19</v>
      </c>
      <c r="D151" s="13">
        <v>155</v>
      </c>
      <c r="E151" s="13">
        <v>221</v>
      </c>
      <c r="F151" s="18">
        <v>189.54545454545453</v>
      </c>
      <c r="G151" s="13">
        <v>190.5</v>
      </c>
      <c r="H151" s="18">
        <v>565.9672607107957</v>
      </c>
      <c r="I151" s="13" t="e">
        <f t="shared" si="2"/>
        <v>#REF!</v>
      </c>
    </row>
    <row r="152" spans="1:9" x14ac:dyDescent="0.25">
      <c r="A152" s="17" t="e">
        <f>+MATCH($B152,#REF!,0)</f>
        <v>#REF!</v>
      </c>
      <c r="B152" s="1" t="s">
        <v>282</v>
      </c>
      <c r="C152" s="13">
        <v>17</v>
      </c>
      <c r="D152" s="13">
        <v>111</v>
      </c>
      <c r="E152" s="13">
        <v>213</v>
      </c>
      <c r="F152" s="18">
        <v>152.95454545454547</v>
      </c>
      <c r="G152" s="13">
        <v>153</v>
      </c>
      <c r="H152" s="18">
        <v>563.06726071079584</v>
      </c>
      <c r="I152" s="13" t="e">
        <f t="shared" si="2"/>
        <v>#REF!</v>
      </c>
    </row>
    <row r="153" spans="1:9" x14ac:dyDescent="0.25">
      <c r="A153" s="17" t="e">
        <f>+MATCH($B153,#REF!,0)</f>
        <v>#REF!</v>
      </c>
      <c r="B153" s="1" t="s">
        <v>292</v>
      </c>
      <c r="C153" s="13">
        <v>13</v>
      </c>
      <c r="D153" s="13">
        <v>198</v>
      </c>
      <c r="E153" s="13">
        <v>246</v>
      </c>
      <c r="F153" s="18">
        <v>230.59090909090909</v>
      </c>
      <c r="G153" s="13">
        <v>237</v>
      </c>
      <c r="H153" s="18">
        <v>562.90572044335386</v>
      </c>
      <c r="I153" s="13" t="e">
        <f t="shared" si="2"/>
        <v>#REF!</v>
      </c>
    </row>
    <row r="154" spans="1:9" x14ac:dyDescent="0.25">
      <c r="A154" s="17" t="e">
        <f>+MATCH($B154,#REF!,0)</f>
        <v>#REF!</v>
      </c>
      <c r="B154" s="1" t="s">
        <v>341</v>
      </c>
      <c r="C154" s="13">
        <v>20</v>
      </c>
      <c r="D154" s="13">
        <v>36</v>
      </c>
      <c r="E154" s="13">
        <v>218</v>
      </c>
      <c r="F154" s="18">
        <v>82.5</v>
      </c>
      <c r="G154" s="13">
        <v>59</v>
      </c>
      <c r="H154" s="18">
        <v>560.806435498773</v>
      </c>
      <c r="I154" s="13" t="e">
        <f t="shared" si="2"/>
        <v>#REF!</v>
      </c>
    </row>
    <row r="155" spans="1:9" x14ac:dyDescent="0.25">
      <c r="A155" s="17" t="e">
        <f>+MATCH($B155,#REF!,0)</f>
        <v>#REF!</v>
      </c>
      <c r="B155" s="1" t="s">
        <v>301</v>
      </c>
      <c r="C155" s="13">
        <v>12</v>
      </c>
      <c r="D155" s="13">
        <v>29</v>
      </c>
      <c r="E155" s="13">
        <v>251</v>
      </c>
      <c r="F155" s="18">
        <v>214.04545454545453</v>
      </c>
      <c r="G155" s="13">
        <v>241.5</v>
      </c>
      <c r="H155" s="18">
        <v>559.22257269280226</v>
      </c>
      <c r="I155" s="13" t="e">
        <f t="shared" si="2"/>
        <v>#REF!</v>
      </c>
    </row>
    <row r="156" spans="1:9" x14ac:dyDescent="0.25">
      <c r="A156" s="17" t="e">
        <f>+MATCH($B156,#REF!,0)</f>
        <v>#REF!</v>
      </c>
      <c r="B156" s="1" t="s">
        <v>327</v>
      </c>
      <c r="C156" s="13">
        <v>19</v>
      </c>
      <c r="D156" s="13">
        <v>97</v>
      </c>
      <c r="E156" s="13">
        <v>154</v>
      </c>
      <c r="F156" s="18">
        <v>123.59090909090909</v>
      </c>
      <c r="G156" s="13">
        <v>128.5</v>
      </c>
      <c r="H156" s="18">
        <v>558.95437001990604</v>
      </c>
      <c r="I156" s="13" t="e">
        <f t="shared" si="2"/>
        <v>#REF!</v>
      </c>
    </row>
    <row r="157" spans="1:9" x14ac:dyDescent="0.25">
      <c r="A157" s="17" t="e">
        <f>+MATCH($B157,#REF!,0)</f>
        <v>#REF!</v>
      </c>
      <c r="B157" s="1" t="s">
        <v>396</v>
      </c>
      <c r="C157" s="13">
        <v>19</v>
      </c>
      <c r="D157" s="13">
        <v>59</v>
      </c>
      <c r="E157" s="13">
        <v>219</v>
      </c>
      <c r="F157" s="18">
        <v>90.409090909090907</v>
      </c>
      <c r="G157" s="13">
        <v>72</v>
      </c>
      <c r="H157" s="18">
        <v>558.59999999999991</v>
      </c>
      <c r="I157" s="13" t="e">
        <f t="shared" si="2"/>
        <v>#REF!</v>
      </c>
    </row>
    <row r="158" spans="1:9" x14ac:dyDescent="0.25">
      <c r="A158" s="17" t="e">
        <f>+MATCH($B158,#REF!,0)</f>
        <v>#REF!</v>
      </c>
      <c r="B158" s="1" t="s">
        <v>264</v>
      </c>
      <c r="C158" s="13">
        <v>18</v>
      </c>
      <c r="D158" s="13">
        <v>54</v>
      </c>
      <c r="E158" s="13">
        <v>158</v>
      </c>
      <c r="F158" s="18">
        <v>83.181818181818187</v>
      </c>
      <c r="G158" s="13">
        <v>77.5</v>
      </c>
      <c r="H158" s="18">
        <v>558.26726071079565</v>
      </c>
      <c r="I158" s="13" t="e">
        <f t="shared" si="2"/>
        <v>#REF!</v>
      </c>
    </row>
    <row r="159" spans="1:9" x14ac:dyDescent="0.25">
      <c r="A159" s="17" t="e">
        <f>+MATCH($B159,#REF!,0)</f>
        <v>#REF!</v>
      </c>
      <c r="B159" s="1" t="s">
        <v>397</v>
      </c>
      <c r="C159" s="13">
        <v>19</v>
      </c>
      <c r="D159" s="13">
        <v>10</v>
      </c>
      <c r="E159" s="13">
        <v>148</v>
      </c>
      <c r="F159" s="18">
        <v>94.13636363636364</v>
      </c>
      <c r="G159" s="13">
        <v>101</v>
      </c>
      <c r="H159" s="18">
        <v>558.00071285295485</v>
      </c>
      <c r="I159" s="13" t="e">
        <f t="shared" si="2"/>
        <v>#REF!</v>
      </c>
    </row>
    <row r="160" spans="1:9" x14ac:dyDescent="0.25">
      <c r="A160" s="17" t="e">
        <f>+MATCH($B160,#REF!,0)</f>
        <v>#REF!</v>
      </c>
      <c r="B160" s="1" t="s">
        <v>0</v>
      </c>
      <c r="C160" s="13">
        <v>20</v>
      </c>
      <c r="D160" s="13">
        <v>30</v>
      </c>
      <c r="E160" s="13">
        <v>172</v>
      </c>
      <c r="F160" s="18">
        <v>59.954545454545453</v>
      </c>
      <c r="G160" s="13">
        <v>46</v>
      </c>
      <c r="H160" s="18">
        <v>549.20715055419168</v>
      </c>
      <c r="I160" s="13" t="e">
        <f t="shared" si="2"/>
        <v>#REF!</v>
      </c>
    </row>
    <row r="161" spans="1:9" x14ac:dyDescent="0.25">
      <c r="A161" s="17" t="e">
        <f>+MATCH($B161,#REF!,0)</f>
        <v>#REF!</v>
      </c>
      <c r="B161" s="1" t="s">
        <v>229</v>
      </c>
      <c r="C161" s="13">
        <v>20</v>
      </c>
      <c r="D161" s="13">
        <v>56</v>
      </c>
      <c r="E161" s="13">
        <v>178</v>
      </c>
      <c r="F161" s="18">
        <v>126.81818181818181</v>
      </c>
      <c r="G161" s="13">
        <v>118</v>
      </c>
      <c r="H161" s="18">
        <v>548.40000000000009</v>
      </c>
      <c r="I161" s="13" t="e">
        <f t="shared" si="2"/>
        <v>#REF!</v>
      </c>
    </row>
    <row r="162" spans="1:9" x14ac:dyDescent="0.25">
      <c r="A162" s="17" t="e">
        <f>+MATCH($B162,#REF!,0)</f>
        <v>#REF!</v>
      </c>
      <c r="B162" s="1" t="s">
        <v>306</v>
      </c>
      <c r="C162" s="13">
        <v>19</v>
      </c>
      <c r="D162" s="13">
        <v>87</v>
      </c>
      <c r="E162" s="13">
        <v>183</v>
      </c>
      <c r="F162" s="18">
        <v>136.09090909090909</v>
      </c>
      <c r="G162" s="13">
        <v>138.5</v>
      </c>
      <c r="H162" s="18">
        <v>548.40000000000009</v>
      </c>
      <c r="I162" s="13" t="e">
        <f t="shared" si="2"/>
        <v>#REF!</v>
      </c>
    </row>
    <row r="163" spans="1:9" x14ac:dyDescent="0.25">
      <c r="A163" s="17" t="e">
        <f>+MATCH($B163,#REF!,0)</f>
        <v>#REF!</v>
      </c>
      <c r="B163" s="1" t="s">
        <v>227</v>
      </c>
      <c r="C163" s="13">
        <v>19</v>
      </c>
      <c r="D163" s="13">
        <v>127</v>
      </c>
      <c r="E163" s="13">
        <v>200</v>
      </c>
      <c r="F163" s="18">
        <v>172</v>
      </c>
      <c r="G163" s="13">
        <v>181</v>
      </c>
      <c r="H163" s="18">
        <v>546.03916002654159</v>
      </c>
      <c r="I163" s="13" t="e">
        <f t="shared" si="2"/>
        <v>#REF!</v>
      </c>
    </row>
    <row r="164" spans="1:9" x14ac:dyDescent="0.25">
      <c r="A164" s="17" t="e">
        <f>+MATCH($B164,#REF!,0)</f>
        <v>#REF!</v>
      </c>
      <c r="B164" s="1" t="s">
        <v>226</v>
      </c>
      <c r="C164" s="13">
        <v>20</v>
      </c>
      <c r="D164" s="13">
        <v>123</v>
      </c>
      <c r="E164" s="13">
        <v>183</v>
      </c>
      <c r="F164" s="18">
        <v>158.54545454545453</v>
      </c>
      <c r="G164" s="13">
        <v>157</v>
      </c>
      <c r="H164" s="18">
        <v>546.03916002654159</v>
      </c>
      <c r="I164" s="13" t="e">
        <f t="shared" si="2"/>
        <v>#REF!</v>
      </c>
    </row>
    <row r="165" spans="1:9" x14ac:dyDescent="0.25">
      <c r="A165" s="17" t="e">
        <f>+MATCH($B165,#REF!,0)</f>
        <v>#REF!</v>
      </c>
      <c r="B165" s="1" t="s">
        <v>346</v>
      </c>
      <c r="C165" s="13">
        <v>18</v>
      </c>
      <c r="D165" s="13">
        <v>56</v>
      </c>
      <c r="E165" s="13">
        <v>178</v>
      </c>
      <c r="F165" s="18">
        <v>94.727272727272734</v>
      </c>
      <c r="G165" s="13">
        <v>91.5</v>
      </c>
      <c r="H165" s="18">
        <v>545.78072097601535</v>
      </c>
      <c r="I165" s="13" t="e">
        <f t="shared" si="2"/>
        <v>#REF!</v>
      </c>
    </row>
    <row r="166" spans="1:9" x14ac:dyDescent="0.25">
      <c r="A166" s="17" t="e">
        <f>+MATCH($B166,#REF!,0)</f>
        <v>#REF!</v>
      </c>
      <c r="B166" s="1" t="s">
        <v>406</v>
      </c>
      <c r="C166" s="13">
        <v>15</v>
      </c>
      <c r="D166" s="13">
        <v>31</v>
      </c>
      <c r="E166" s="13">
        <v>226</v>
      </c>
      <c r="F166" s="18">
        <v>183.5</v>
      </c>
      <c r="G166" s="13">
        <v>204</v>
      </c>
      <c r="H166" s="18">
        <v>544.5792130930447</v>
      </c>
      <c r="I166" s="13" t="e">
        <f t="shared" si="2"/>
        <v>#REF!</v>
      </c>
    </row>
    <row r="167" spans="1:9" x14ac:dyDescent="0.25">
      <c r="A167" s="17" t="e">
        <f>+MATCH($B167,#REF!,0)</f>
        <v>#REF!</v>
      </c>
      <c r="B167" s="1" t="s">
        <v>338</v>
      </c>
      <c r="C167" s="13">
        <v>9</v>
      </c>
      <c r="D167" s="13">
        <v>83</v>
      </c>
      <c r="E167" s="13">
        <v>246</v>
      </c>
      <c r="F167" s="18">
        <v>183.77272727272728</v>
      </c>
      <c r="G167" s="13">
        <v>198.5</v>
      </c>
      <c r="H167" s="18">
        <v>544.5792130930447</v>
      </c>
      <c r="I167" s="13" t="e">
        <f t="shared" si="2"/>
        <v>#REF!</v>
      </c>
    </row>
    <row r="168" spans="1:9" x14ac:dyDescent="0.25">
      <c r="A168" s="17" t="e">
        <f>+MATCH($B168,#REF!,0)</f>
        <v>#REF!</v>
      </c>
      <c r="B168" s="1" t="s">
        <v>281</v>
      </c>
      <c r="C168" s="13">
        <v>19</v>
      </c>
      <c r="D168" s="13">
        <v>44</v>
      </c>
      <c r="E168" s="13">
        <v>193</v>
      </c>
      <c r="F168" s="18">
        <v>71.590909090909093</v>
      </c>
      <c r="G168" s="13">
        <v>57.5</v>
      </c>
      <c r="H168" s="18">
        <v>542.79999999999995</v>
      </c>
      <c r="I168" s="13" t="e">
        <f t="shared" si="2"/>
        <v>#REF!</v>
      </c>
    </row>
    <row r="169" spans="1:9" x14ac:dyDescent="0.25">
      <c r="A169" s="17" t="e">
        <f>+MATCH($B169,#REF!,0)</f>
        <v>#REF!</v>
      </c>
      <c r="B169" s="1" t="s">
        <v>268</v>
      </c>
      <c r="C169" s="13">
        <v>19</v>
      </c>
      <c r="D169" s="13">
        <v>41</v>
      </c>
      <c r="E169" s="13">
        <v>89</v>
      </c>
      <c r="F169" s="18">
        <v>54.727272727272727</v>
      </c>
      <c r="G169" s="13">
        <v>51</v>
      </c>
      <c r="H169" s="18">
        <v>542.79999999999995</v>
      </c>
      <c r="I169" s="13" t="e">
        <f t="shared" si="2"/>
        <v>#REF!</v>
      </c>
    </row>
    <row r="170" spans="1:9" x14ac:dyDescent="0.25">
      <c r="A170" s="17" t="e">
        <f>+MATCH($B170,#REF!,0)</f>
        <v>#REF!</v>
      </c>
      <c r="B170" s="1" t="s">
        <v>422</v>
      </c>
      <c r="C170" s="13">
        <v>18</v>
      </c>
      <c r="D170" s="13">
        <v>11</v>
      </c>
      <c r="E170" s="13">
        <v>209</v>
      </c>
      <c r="F170" s="18">
        <v>132.09090909090909</v>
      </c>
      <c r="G170" s="13">
        <v>157</v>
      </c>
      <c r="H170" s="18">
        <v>542.30715055419228</v>
      </c>
      <c r="I170" s="13" t="e">
        <f t="shared" si="2"/>
        <v>#REF!</v>
      </c>
    </row>
    <row r="171" spans="1:9" x14ac:dyDescent="0.25">
      <c r="A171" s="17" t="e">
        <f>+MATCH($B171,#REF!,0)</f>
        <v>#REF!</v>
      </c>
      <c r="B171" s="1" t="s">
        <v>298</v>
      </c>
      <c r="C171" s="13">
        <v>17</v>
      </c>
      <c r="D171" s="13">
        <v>80</v>
      </c>
      <c r="E171" s="13">
        <v>199</v>
      </c>
      <c r="F171" s="18">
        <v>150.68181818181819</v>
      </c>
      <c r="G171" s="13">
        <v>143.5</v>
      </c>
      <c r="H171" s="18">
        <v>541.80932826427409</v>
      </c>
      <c r="I171" s="13" t="e">
        <f t="shared" si="2"/>
        <v>#REF!</v>
      </c>
    </row>
    <row r="172" spans="1:9" x14ac:dyDescent="0.25">
      <c r="A172" s="17" t="e">
        <f>+MATCH($B172,#REF!,0)</f>
        <v>#REF!</v>
      </c>
      <c r="B172" s="1" t="s">
        <v>331</v>
      </c>
      <c r="C172" s="13">
        <v>18</v>
      </c>
      <c r="D172" s="13">
        <v>18</v>
      </c>
      <c r="E172" s="13">
        <v>109</v>
      </c>
      <c r="F172" s="18">
        <v>78.5</v>
      </c>
      <c r="G172" s="13">
        <v>84.5</v>
      </c>
      <c r="H172" s="18">
        <v>541.80932826427397</v>
      </c>
      <c r="I172" s="13" t="e">
        <f t="shared" si="2"/>
        <v>#REF!</v>
      </c>
    </row>
    <row r="173" spans="1:9" x14ac:dyDescent="0.25">
      <c r="A173" s="17" t="e">
        <f>+MATCH($B173,#REF!,0)</f>
        <v>#REF!</v>
      </c>
      <c r="B173" s="1" t="s">
        <v>257</v>
      </c>
      <c r="C173" s="13">
        <v>19</v>
      </c>
      <c r="D173" s="13">
        <v>32</v>
      </c>
      <c r="E173" s="13">
        <v>92</v>
      </c>
      <c r="F173" s="18">
        <v>47.772727272727273</v>
      </c>
      <c r="G173" s="13">
        <v>44</v>
      </c>
      <c r="H173" s="18">
        <v>540.69999999999993</v>
      </c>
      <c r="I173" s="13" t="e">
        <f t="shared" si="2"/>
        <v>#REF!</v>
      </c>
    </row>
    <row r="174" spans="1:9" x14ac:dyDescent="0.25">
      <c r="A174" s="17" t="e">
        <f>+MATCH($B174,#REF!,0)</f>
        <v>#REF!</v>
      </c>
      <c r="B174" s="1" t="s">
        <v>420</v>
      </c>
      <c r="C174" s="13">
        <v>15</v>
      </c>
      <c r="D174" s="13">
        <v>39</v>
      </c>
      <c r="E174" s="13">
        <v>228</v>
      </c>
      <c r="F174" s="18">
        <v>186.13636363636363</v>
      </c>
      <c r="G174" s="13">
        <v>200.5</v>
      </c>
      <c r="H174" s="18">
        <v>539.83740284704834</v>
      </c>
      <c r="I174" s="13" t="e">
        <f t="shared" si="2"/>
        <v>#REF!</v>
      </c>
    </row>
    <row r="175" spans="1:9" x14ac:dyDescent="0.25">
      <c r="A175" s="17" t="e">
        <f>+MATCH($B175,#REF!,0)</f>
        <v>#REF!</v>
      </c>
      <c r="B175" s="1" t="s">
        <v>361</v>
      </c>
      <c r="C175" s="13">
        <v>19</v>
      </c>
      <c r="D175" s="13">
        <v>70</v>
      </c>
      <c r="E175" s="13">
        <v>206</v>
      </c>
      <c r="F175" s="18">
        <v>115.95454545454545</v>
      </c>
      <c r="G175" s="13">
        <v>101</v>
      </c>
      <c r="H175" s="18">
        <v>535.09999999999945</v>
      </c>
      <c r="I175" s="13" t="e">
        <f t="shared" si="2"/>
        <v>#REF!</v>
      </c>
    </row>
    <row r="176" spans="1:9" x14ac:dyDescent="0.25">
      <c r="A176" s="17" t="e">
        <f>+MATCH($B176,#REF!,0)</f>
        <v>#REF!</v>
      </c>
      <c r="B176" s="1" t="s">
        <v>269</v>
      </c>
      <c r="C176" s="13">
        <v>21</v>
      </c>
      <c r="D176" s="13">
        <v>12</v>
      </c>
      <c r="E176" s="13">
        <v>69</v>
      </c>
      <c r="F176" s="18">
        <v>34.363636363636367</v>
      </c>
      <c r="G176" s="13">
        <v>31</v>
      </c>
      <c r="H176" s="18">
        <v>530.5851522093177</v>
      </c>
      <c r="I176" s="13" t="e">
        <f t="shared" si="2"/>
        <v>#REF!</v>
      </c>
    </row>
    <row r="177" spans="1:9" x14ac:dyDescent="0.25">
      <c r="A177" s="17" t="e">
        <f>+MATCH($B177,#REF!,0)</f>
        <v>#REF!</v>
      </c>
      <c r="B177" s="1" t="s">
        <v>436</v>
      </c>
      <c r="C177" s="13">
        <v>20</v>
      </c>
      <c r="D177" s="13">
        <v>54</v>
      </c>
      <c r="E177" s="13">
        <v>187</v>
      </c>
      <c r="F177" s="18">
        <v>115.31818181818181</v>
      </c>
      <c r="G177" s="13">
        <v>119.5</v>
      </c>
      <c r="H177" s="18">
        <v>526.97921309304479</v>
      </c>
      <c r="I177" s="13" t="e">
        <f t="shared" si="2"/>
        <v>#REF!</v>
      </c>
    </row>
    <row r="178" spans="1:9" x14ac:dyDescent="0.25">
      <c r="A178" s="17" t="e">
        <f>+MATCH($B178,#REF!,0)</f>
        <v>#REF!</v>
      </c>
      <c r="B178" s="1" t="s">
        <v>286</v>
      </c>
      <c r="C178" s="13">
        <v>14</v>
      </c>
      <c r="D178" s="13">
        <v>35</v>
      </c>
      <c r="E178" s="13">
        <v>228</v>
      </c>
      <c r="F178" s="18">
        <v>202.22727272727272</v>
      </c>
      <c r="G178" s="13">
        <v>221</v>
      </c>
      <c r="H178" s="18">
        <v>526.97921309304479</v>
      </c>
      <c r="I178" s="13" t="e">
        <f t="shared" si="2"/>
        <v>#REF!</v>
      </c>
    </row>
    <row r="179" spans="1:9" x14ac:dyDescent="0.25">
      <c r="A179" s="17" t="e">
        <f>+MATCH($B179,#REF!,0)</f>
        <v>#REF!</v>
      </c>
      <c r="B179" s="1" t="s">
        <v>271</v>
      </c>
      <c r="C179" s="13">
        <v>17</v>
      </c>
      <c r="D179" s="13">
        <v>21</v>
      </c>
      <c r="E179" s="13">
        <v>140</v>
      </c>
      <c r="F179" s="18">
        <v>95.318181818181813</v>
      </c>
      <c r="G179" s="13">
        <v>101</v>
      </c>
      <c r="H179" s="18">
        <v>524.91189606246371</v>
      </c>
      <c r="I179" s="13" t="e">
        <f t="shared" si="2"/>
        <v>#REF!</v>
      </c>
    </row>
    <row r="180" spans="1:9" x14ac:dyDescent="0.25">
      <c r="A180" s="17" t="e">
        <f>+MATCH($B180,#REF!,0)</f>
        <v>#REF!</v>
      </c>
      <c r="B180" s="1" t="s">
        <v>332</v>
      </c>
      <c r="C180" s="13">
        <v>17</v>
      </c>
      <c r="D180" s="13">
        <v>150</v>
      </c>
      <c r="E180" s="13">
        <v>242</v>
      </c>
      <c r="F180" s="18">
        <v>195.63636363636363</v>
      </c>
      <c r="G180" s="13">
        <v>193</v>
      </c>
      <c r="H180" s="18">
        <v>524.9118960624628</v>
      </c>
      <c r="I180" s="13" t="e">
        <f t="shared" si="2"/>
        <v>#REF!</v>
      </c>
    </row>
    <row r="181" spans="1:9" x14ac:dyDescent="0.25">
      <c r="A181" s="17" t="e">
        <f>+MATCH($B181,#REF!,0)</f>
        <v>#REF!</v>
      </c>
      <c r="B181" s="1" t="s">
        <v>323</v>
      </c>
      <c r="C181" s="13">
        <v>20</v>
      </c>
      <c r="D181" s="13">
        <v>77</v>
      </c>
      <c r="E181" s="13">
        <v>165</v>
      </c>
      <c r="F181" s="18">
        <v>110</v>
      </c>
      <c r="G181" s="13">
        <v>108</v>
      </c>
      <c r="H181" s="18">
        <v>517.60000000000036</v>
      </c>
      <c r="I181" s="13" t="e">
        <f t="shared" si="2"/>
        <v>#REF!</v>
      </c>
    </row>
    <row r="182" spans="1:9" x14ac:dyDescent="0.25">
      <c r="A182" s="17" t="e">
        <f>+MATCH($B182,#REF!,0)</f>
        <v>#REF!</v>
      </c>
      <c r="B182" s="1" t="s">
        <v>343</v>
      </c>
      <c r="C182" s="13">
        <v>18</v>
      </c>
      <c r="D182" s="13">
        <v>30</v>
      </c>
      <c r="E182" s="13">
        <v>134</v>
      </c>
      <c r="F182" s="18">
        <v>47.909090909090907</v>
      </c>
      <c r="G182" s="13">
        <v>42</v>
      </c>
      <c r="H182" s="18">
        <v>517.29999999999995</v>
      </c>
      <c r="I182" s="13" t="e">
        <f t="shared" si="2"/>
        <v>#REF!</v>
      </c>
    </row>
    <row r="183" spans="1:9" x14ac:dyDescent="0.25">
      <c r="A183" s="17" t="e">
        <f>+MATCH($B183,#REF!,0)</f>
        <v>#REF!</v>
      </c>
      <c r="B183" s="1" t="s">
        <v>335</v>
      </c>
      <c r="C183" s="13">
        <v>19</v>
      </c>
      <c r="D183" s="13">
        <v>52</v>
      </c>
      <c r="E183" s="13">
        <v>142</v>
      </c>
      <c r="F183" s="18">
        <v>94.318181818181813</v>
      </c>
      <c r="G183" s="13">
        <v>95</v>
      </c>
      <c r="H183" s="18">
        <v>514.39847708551599</v>
      </c>
      <c r="I183" s="13" t="e">
        <f t="shared" si="2"/>
        <v>#REF!</v>
      </c>
    </row>
    <row r="184" spans="1:9" x14ac:dyDescent="0.25">
      <c r="A184" s="17" t="e">
        <f>+MATCH($B184,#REF!,0)</f>
        <v>#REF!</v>
      </c>
      <c r="B184" s="1" t="s">
        <v>367</v>
      </c>
      <c r="C184" s="13">
        <v>19</v>
      </c>
      <c r="D184" s="13">
        <v>86</v>
      </c>
      <c r="E184" s="13">
        <v>203</v>
      </c>
      <c r="F184" s="18">
        <v>163.95454545454547</v>
      </c>
      <c r="G184" s="13">
        <v>173.5</v>
      </c>
      <c r="H184" s="18">
        <v>514.39847708551599</v>
      </c>
      <c r="I184" s="13" t="e">
        <f t="shared" si="2"/>
        <v>#REF!</v>
      </c>
    </row>
    <row r="185" spans="1:9" x14ac:dyDescent="0.25">
      <c r="A185" s="17" t="e">
        <f>+MATCH($B185,#REF!,0)</f>
        <v>#REF!</v>
      </c>
      <c r="B185" s="1" t="s">
        <v>291</v>
      </c>
      <c r="C185" s="13">
        <v>18</v>
      </c>
      <c r="D185" s="13">
        <v>123</v>
      </c>
      <c r="E185" s="13">
        <v>228</v>
      </c>
      <c r="F185" s="18">
        <v>184.40909090909091</v>
      </c>
      <c r="G185" s="13">
        <v>183.5</v>
      </c>
      <c r="H185" s="18">
        <v>514.39847708551588</v>
      </c>
      <c r="I185" s="13" t="e">
        <f t="shared" si="2"/>
        <v>#REF!</v>
      </c>
    </row>
    <row r="186" spans="1:9" x14ac:dyDescent="0.25">
      <c r="A186" s="17" t="e">
        <f>+MATCH($B186,#REF!,0)</f>
        <v>#REF!</v>
      </c>
      <c r="B186" s="1" t="s">
        <v>208</v>
      </c>
      <c r="C186" s="13">
        <v>19</v>
      </c>
      <c r="D186" s="13">
        <v>40</v>
      </c>
      <c r="E186" s="13">
        <v>94</v>
      </c>
      <c r="F186" s="18">
        <v>59.272727272727273</v>
      </c>
      <c r="G186" s="13">
        <v>55.5</v>
      </c>
      <c r="H186" s="18">
        <v>511.40000000000009</v>
      </c>
      <c r="I186" s="13" t="e">
        <f t="shared" si="2"/>
        <v>#REF!</v>
      </c>
    </row>
    <row r="187" spans="1:9" x14ac:dyDescent="0.25">
      <c r="A187" s="17" t="e">
        <f>+MATCH($B187,#REF!,0)</f>
        <v>#REF!</v>
      </c>
      <c r="B187" s="1" t="s">
        <v>324</v>
      </c>
      <c r="C187" s="13">
        <v>19</v>
      </c>
      <c r="D187" s="13">
        <v>75</v>
      </c>
      <c r="E187" s="13">
        <v>136</v>
      </c>
      <c r="F187" s="18">
        <v>94.86363636363636</v>
      </c>
      <c r="G187" s="13">
        <v>90</v>
      </c>
      <c r="H187" s="18">
        <v>511.40000000000009</v>
      </c>
      <c r="I187" s="13" t="e">
        <f t="shared" si="2"/>
        <v>#REF!</v>
      </c>
    </row>
    <row r="188" spans="1:9" x14ac:dyDescent="0.25">
      <c r="A188" s="17" t="e">
        <f>+MATCH($B188,#REF!,0)</f>
        <v>#REF!</v>
      </c>
      <c r="B188" s="1" t="s">
        <v>312</v>
      </c>
      <c r="C188" s="13">
        <v>19</v>
      </c>
      <c r="D188" s="13">
        <v>95</v>
      </c>
      <c r="E188" s="13">
        <v>153</v>
      </c>
      <c r="F188" s="18">
        <v>122.68181818181819</v>
      </c>
      <c r="G188" s="13">
        <v>116.5</v>
      </c>
      <c r="H188" s="18">
        <v>511.40000000000009</v>
      </c>
      <c r="I188" s="13" t="e">
        <f t="shared" si="2"/>
        <v>#REF!</v>
      </c>
    </row>
    <row r="189" spans="1:9" x14ac:dyDescent="0.25">
      <c r="A189" s="17" t="e">
        <f>+MATCH($B189,#REF!,0)</f>
        <v>#REF!</v>
      </c>
      <c r="B189" s="1" t="s">
        <v>231</v>
      </c>
      <c r="C189" s="13">
        <v>17</v>
      </c>
      <c r="D189" s="13">
        <v>146</v>
      </c>
      <c r="E189" s="13">
        <v>201</v>
      </c>
      <c r="F189" s="18">
        <v>175.36363636363637</v>
      </c>
      <c r="G189" s="13">
        <v>177</v>
      </c>
      <c r="H189" s="18">
        <v>502.49999999999955</v>
      </c>
      <c r="I189" s="13" t="e">
        <f t="shared" si="2"/>
        <v>#REF!</v>
      </c>
    </row>
    <row r="190" spans="1:9" x14ac:dyDescent="0.25">
      <c r="A190" s="17" t="e">
        <f>+MATCH($B190,#REF!,0)</f>
        <v>#REF!</v>
      </c>
      <c r="B190" s="1" t="s">
        <v>115</v>
      </c>
      <c r="C190" s="13">
        <v>19</v>
      </c>
      <c r="D190" s="13">
        <v>50</v>
      </c>
      <c r="E190" s="13">
        <v>174</v>
      </c>
      <c r="F190" s="18">
        <v>73.272727272727266</v>
      </c>
      <c r="G190" s="13">
        <v>65.5</v>
      </c>
      <c r="H190" s="18">
        <v>502.30000000000018</v>
      </c>
      <c r="I190" s="13" t="e">
        <f t="shared" si="2"/>
        <v>#REF!</v>
      </c>
    </row>
    <row r="191" spans="1:9" x14ac:dyDescent="0.25">
      <c r="A191" s="17" t="e">
        <f>+MATCH($B191,#REF!,0)</f>
        <v>#REF!</v>
      </c>
      <c r="B191" s="1" t="s">
        <v>314</v>
      </c>
      <c r="C191" s="13">
        <v>7</v>
      </c>
      <c r="D191" s="13">
        <v>28</v>
      </c>
      <c r="E191" s="13">
        <v>253</v>
      </c>
      <c r="F191" s="18">
        <v>220.36363636363637</v>
      </c>
      <c r="G191" s="13">
        <v>247.5</v>
      </c>
      <c r="H191" s="18">
        <v>500.54729045646081</v>
      </c>
      <c r="I191" s="13" t="e">
        <f t="shared" si="2"/>
        <v>#REF!</v>
      </c>
    </row>
    <row r="192" spans="1:9" x14ac:dyDescent="0.25">
      <c r="A192" s="17" t="e">
        <f>+MATCH($B192,#REF!,0)</f>
        <v>#REF!</v>
      </c>
      <c r="B192" s="1" t="s">
        <v>13</v>
      </c>
      <c r="C192" s="13">
        <v>17</v>
      </c>
      <c r="D192" s="13">
        <v>137</v>
      </c>
      <c r="E192" s="13">
        <v>233</v>
      </c>
      <c r="F192" s="18">
        <v>205.95454545454547</v>
      </c>
      <c r="G192" s="13">
        <v>206</v>
      </c>
      <c r="H192" s="18">
        <v>498.71019662496815</v>
      </c>
      <c r="I192" s="13" t="e">
        <f t="shared" si="2"/>
        <v>#REF!</v>
      </c>
    </row>
    <row r="193" spans="1:9" x14ac:dyDescent="0.25">
      <c r="A193" s="17" t="e">
        <f>+MATCH($B193,#REF!,0)</f>
        <v>#REF!</v>
      </c>
      <c r="B193" s="1" t="s">
        <v>325</v>
      </c>
      <c r="C193" s="13">
        <v>19</v>
      </c>
      <c r="D193" s="13">
        <v>70</v>
      </c>
      <c r="E193" s="13">
        <v>197</v>
      </c>
      <c r="F193" s="18">
        <v>99.318181818181813</v>
      </c>
      <c r="G193" s="13">
        <v>80</v>
      </c>
      <c r="H193" s="18">
        <v>496.29999999999927</v>
      </c>
      <c r="I193" s="13" t="e">
        <f t="shared" si="2"/>
        <v>#REF!</v>
      </c>
    </row>
    <row r="194" spans="1:9" x14ac:dyDescent="0.25">
      <c r="A194" s="17" t="e">
        <f>+MATCH($B194,#REF!,0)</f>
        <v>#REF!</v>
      </c>
      <c r="B194" s="1" t="s">
        <v>339</v>
      </c>
      <c r="C194" s="13">
        <v>20</v>
      </c>
      <c r="D194" s="13">
        <v>68</v>
      </c>
      <c r="E194" s="13">
        <v>226</v>
      </c>
      <c r="F194" s="18">
        <v>172.18181818181819</v>
      </c>
      <c r="G194" s="13">
        <v>172.5</v>
      </c>
      <c r="H194" s="18">
        <v>484.65437001990585</v>
      </c>
      <c r="I194" s="13" t="e">
        <f t="shared" si="2"/>
        <v>#REF!</v>
      </c>
    </row>
    <row r="195" spans="1:9" x14ac:dyDescent="0.25">
      <c r="A195" s="17" t="e">
        <f>+MATCH($B195,#REF!,0)</f>
        <v>#REF!</v>
      </c>
      <c r="B195" s="1" t="s">
        <v>116</v>
      </c>
      <c r="C195" s="13">
        <v>18</v>
      </c>
      <c r="D195" s="13">
        <v>158</v>
      </c>
      <c r="E195" s="13">
        <v>229</v>
      </c>
      <c r="F195" s="18">
        <v>210.09090909090909</v>
      </c>
      <c r="G195" s="13">
        <v>211</v>
      </c>
      <c r="H195" s="18">
        <v>484.3517613602321</v>
      </c>
      <c r="I195" s="13" t="e">
        <f t="shared" si="2"/>
        <v>#REF!</v>
      </c>
    </row>
    <row r="196" spans="1:9" x14ac:dyDescent="0.25">
      <c r="A196" s="17" t="e">
        <f>+MATCH($B196,#REF!,0)</f>
        <v>#REF!</v>
      </c>
      <c r="B196" s="1" t="s">
        <v>400</v>
      </c>
      <c r="C196" s="13">
        <v>18</v>
      </c>
      <c r="D196" s="13">
        <v>74</v>
      </c>
      <c r="E196" s="13">
        <v>164</v>
      </c>
      <c r="F196" s="18">
        <v>126.63636363636364</v>
      </c>
      <c r="G196" s="13">
        <v>139</v>
      </c>
      <c r="H196" s="18">
        <v>482.10000000000036</v>
      </c>
      <c r="I196" s="13" t="e">
        <f t="shared" ref="I196:I259" si="3">MAX(0,A196-G196)</f>
        <v>#REF!</v>
      </c>
    </row>
    <row r="197" spans="1:9" x14ac:dyDescent="0.25">
      <c r="A197" s="17" t="e">
        <f>+MATCH($B197,#REF!,0)</f>
        <v>#REF!</v>
      </c>
      <c r="B197" s="1" t="s">
        <v>316</v>
      </c>
      <c r="C197" s="13">
        <v>20</v>
      </c>
      <c r="D197" s="13">
        <v>40</v>
      </c>
      <c r="E197" s="13">
        <v>111</v>
      </c>
      <c r="F197" s="18">
        <v>58.5</v>
      </c>
      <c r="G197" s="13">
        <v>50</v>
      </c>
      <c r="H197" s="18">
        <v>482.10000000000014</v>
      </c>
      <c r="I197" s="13" t="e">
        <f t="shared" si="3"/>
        <v>#REF!</v>
      </c>
    </row>
    <row r="198" spans="1:9" x14ac:dyDescent="0.25">
      <c r="A198" s="17" t="e">
        <f>+MATCH($B198,#REF!,0)</f>
        <v>#REF!</v>
      </c>
      <c r="B198" s="1" t="s">
        <v>347</v>
      </c>
      <c r="C198" s="13">
        <v>20</v>
      </c>
      <c r="D198" s="13">
        <v>42</v>
      </c>
      <c r="E198" s="13">
        <v>134</v>
      </c>
      <c r="F198" s="18">
        <v>90.409090909090907</v>
      </c>
      <c r="G198" s="13">
        <v>83.5</v>
      </c>
      <c r="H198" s="18">
        <v>482.10000000000014</v>
      </c>
      <c r="I198" s="13" t="e">
        <f t="shared" si="3"/>
        <v>#REF!</v>
      </c>
    </row>
    <row r="199" spans="1:9" x14ac:dyDescent="0.25">
      <c r="A199" s="17" t="e">
        <f>+MATCH($B199,#REF!,0)</f>
        <v>#REF!</v>
      </c>
      <c r="B199" s="1" t="s">
        <v>239</v>
      </c>
      <c r="C199" s="13">
        <v>20</v>
      </c>
      <c r="D199" s="13">
        <v>36</v>
      </c>
      <c r="E199" s="13">
        <v>126</v>
      </c>
      <c r="F199" s="18">
        <v>81.5</v>
      </c>
      <c r="G199" s="13">
        <v>75.5</v>
      </c>
      <c r="H199" s="18">
        <v>482.09999999999991</v>
      </c>
      <c r="I199" s="13" t="e">
        <f t="shared" si="3"/>
        <v>#REF!</v>
      </c>
    </row>
    <row r="200" spans="1:9" x14ac:dyDescent="0.25">
      <c r="A200" s="17" t="e">
        <f>+MATCH($B200,#REF!,0)</f>
        <v>#REF!</v>
      </c>
      <c r="B200" s="1" t="s">
        <v>407</v>
      </c>
      <c r="C200" s="13">
        <v>18</v>
      </c>
      <c r="D200" s="13">
        <v>87</v>
      </c>
      <c r="E200" s="13">
        <v>157</v>
      </c>
      <c r="F200" s="18">
        <v>104.77272727272727</v>
      </c>
      <c r="G200" s="13">
        <v>98.5</v>
      </c>
      <c r="H200" s="18">
        <v>482.09999999999991</v>
      </c>
      <c r="I200" s="13" t="e">
        <f t="shared" si="3"/>
        <v>#REF!</v>
      </c>
    </row>
    <row r="201" spans="1:9" x14ac:dyDescent="0.25">
      <c r="A201" s="17" t="e">
        <f>+MATCH($B201,#REF!,0)</f>
        <v>#REF!</v>
      </c>
      <c r="B201" s="1" t="s">
        <v>457</v>
      </c>
      <c r="C201" s="13">
        <v>19</v>
      </c>
      <c r="D201" s="13">
        <v>101</v>
      </c>
      <c r="E201" s="13">
        <v>208</v>
      </c>
      <c r="F201" s="18">
        <v>127.77272727272727</v>
      </c>
      <c r="G201" s="13">
        <v>116</v>
      </c>
      <c r="H201" s="18">
        <v>482.09999999999991</v>
      </c>
      <c r="I201" s="13" t="e">
        <f t="shared" si="3"/>
        <v>#REF!</v>
      </c>
    </row>
    <row r="202" spans="1:9" x14ac:dyDescent="0.25">
      <c r="A202" s="17" t="e">
        <f>+MATCH($B202,#REF!,0)</f>
        <v>#REF!</v>
      </c>
      <c r="B202" s="1" t="s">
        <v>293</v>
      </c>
      <c r="C202" s="13">
        <v>20</v>
      </c>
      <c r="D202" s="13">
        <v>80</v>
      </c>
      <c r="E202" s="13">
        <v>180</v>
      </c>
      <c r="F202" s="18">
        <v>123.5</v>
      </c>
      <c r="G202" s="13">
        <v>124.5</v>
      </c>
      <c r="H202" s="18">
        <v>481.29999999999995</v>
      </c>
      <c r="I202" s="13" t="e">
        <f t="shared" si="3"/>
        <v>#REF!</v>
      </c>
    </row>
    <row r="203" spans="1:9" x14ac:dyDescent="0.25">
      <c r="A203" s="17" t="e">
        <f>+MATCH($B203,#REF!,0)</f>
        <v>#REF!</v>
      </c>
      <c r="B203" s="1" t="s">
        <v>319</v>
      </c>
      <c r="C203" s="13">
        <v>19</v>
      </c>
      <c r="D203" s="13">
        <v>60</v>
      </c>
      <c r="E203" s="13">
        <v>222</v>
      </c>
      <c r="F203" s="18">
        <v>102.95454545454545</v>
      </c>
      <c r="G203" s="13">
        <v>91.5</v>
      </c>
      <c r="H203" s="18">
        <v>479.80000000000018</v>
      </c>
      <c r="I203" s="13" t="e">
        <f t="shared" si="3"/>
        <v>#REF!</v>
      </c>
    </row>
    <row r="204" spans="1:9" x14ac:dyDescent="0.25">
      <c r="A204" s="17" t="e">
        <f>+MATCH($B204,#REF!,0)</f>
        <v>#REF!</v>
      </c>
      <c r="B204" s="1" t="s">
        <v>390</v>
      </c>
      <c r="C204" s="13">
        <v>19</v>
      </c>
      <c r="D204" s="13">
        <v>74</v>
      </c>
      <c r="E204" s="13">
        <v>154</v>
      </c>
      <c r="F204" s="18">
        <v>105.95454545454545</v>
      </c>
      <c r="G204" s="13">
        <v>100.5</v>
      </c>
      <c r="H204" s="18">
        <v>473.30643173200588</v>
      </c>
      <c r="I204" s="13" t="e">
        <f t="shared" si="3"/>
        <v>#REF!</v>
      </c>
    </row>
    <row r="205" spans="1:9" x14ac:dyDescent="0.25">
      <c r="A205" s="17" t="e">
        <f>+MATCH($B205,#REF!,0)</f>
        <v>#REF!</v>
      </c>
      <c r="B205" s="1" t="s">
        <v>287</v>
      </c>
      <c r="C205" s="13">
        <v>8</v>
      </c>
      <c r="D205" s="13">
        <v>22</v>
      </c>
      <c r="E205" s="13">
        <v>246</v>
      </c>
      <c r="F205" s="18">
        <v>198.81818181818181</v>
      </c>
      <c r="G205" s="13">
        <v>222</v>
      </c>
      <c r="H205" s="18">
        <v>473.30643173200554</v>
      </c>
      <c r="I205" s="13" t="e">
        <f t="shared" si="3"/>
        <v>#REF!</v>
      </c>
    </row>
    <row r="206" spans="1:9" x14ac:dyDescent="0.25">
      <c r="A206" s="17" t="e">
        <f>+MATCH($B206,#REF!,0)</f>
        <v>#REF!</v>
      </c>
      <c r="B206" s="1" t="s">
        <v>412</v>
      </c>
      <c r="C206" s="13">
        <v>18</v>
      </c>
      <c r="D206" s="13">
        <v>17</v>
      </c>
      <c r="E206" s="13">
        <v>192</v>
      </c>
      <c r="F206" s="18">
        <v>144.95454545454547</v>
      </c>
      <c r="G206" s="13">
        <v>157.5</v>
      </c>
      <c r="H206" s="18">
        <v>472.00715055419221</v>
      </c>
      <c r="I206" s="13" t="e">
        <f t="shared" si="3"/>
        <v>#REF!</v>
      </c>
    </row>
    <row r="207" spans="1:9" x14ac:dyDescent="0.25">
      <c r="A207" s="17" t="e">
        <f>+MATCH($B207,#REF!,0)</f>
        <v>#REF!</v>
      </c>
      <c r="B207" s="1" t="s">
        <v>225</v>
      </c>
      <c r="C207" s="13">
        <v>20</v>
      </c>
      <c r="D207" s="13">
        <v>19</v>
      </c>
      <c r="E207" s="13">
        <v>200</v>
      </c>
      <c r="F207" s="18">
        <v>143.31818181818181</v>
      </c>
      <c r="G207" s="13">
        <v>159</v>
      </c>
      <c r="H207" s="18">
        <v>470.78586506227259</v>
      </c>
      <c r="I207" s="13" t="e">
        <f t="shared" si="3"/>
        <v>#REF!</v>
      </c>
    </row>
    <row r="208" spans="1:9" x14ac:dyDescent="0.25">
      <c r="A208" s="17" t="e">
        <f>+MATCH($B208,#REF!,0)</f>
        <v>#REF!</v>
      </c>
      <c r="B208" s="1" t="s">
        <v>403</v>
      </c>
      <c r="C208" s="13">
        <v>19</v>
      </c>
      <c r="D208" s="13">
        <v>69</v>
      </c>
      <c r="E208" s="13">
        <v>175</v>
      </c>
      <c r="F208" s="18">
        <v>106.22727272727273</v>
      </c>
      <c r="G208" s="13">
        <v>106.5</v>
      </c>
      <c r="H208" s="18">
        <v>469.90000000000009</v>
      </c>
      <c r="I208" s="13" t="e">
        <f t="shared" si="3"/>
        <v>#REF!</v>
      </c>
    </row>
    <row r="209" spans="1:9" x14ac:dyDescent="0.25">
      <c r="A209" s="17" t="e">
        <f>+MATCH($B209,#REF!,0)</f>
        <v>#REF!</v>
      </c>
      <c r="B209" s="1" t="s">
        <v>221</v>
      </c>
      <c r="C209" s="13">
        <v>20</v>
      </c>
      <c r="D209" s="13">
        <v>123</v>
      </c>
      <c r="E209" s="13">
        <v>220</v>
      </c>
      <c r="F209" s="18">
        <v>171.40909090909091</v>
      </c>
      <c r="G209" s="13">
        <v>177</v>
      </c>
      <c r="H209" s="18">
        <v>469.90000000000009</v>
      </c>
      <c r="I209" s="13" t="e">
        <f t="shared" si="3"/>
        <v>#REF!</v>
      </c>
    </row>
    <row r="210" spans="1:9" x14ac:dyDescent="0.25">
      <c r="A210" s="17" t="e">
        <f>+MATCH($B210,#REF!,0)</f>
        <v>#REF!</v>
      </c>
      <c r="B210" s="1" t="s">
        <v>357</v>
      </c>
      <c r="C210" s="13">
        <v>13</v>
      </c>
      <c r="D210" s="13">
        <v>175</v>
      </c>
      <c r="E210" s="13">
        <v>233</v>
      </c>
      <c r="F210" s="18">
        <v>206.86363636363637</v>
      </c>
      <c r="G210" s="13">
        <v>208</v>
      </c>
      <c r="H210" s="18">
        <v>469.30000000000018</v>
      </c>
      <c r="I210" s="13" t="e">
        <f t="shared" si="3"/>
        <v>#REF!</v>
      </c>
    </row>
    <row r="211" spans="1:9" x14ac:dyDescent="0.25">
      <c r="A211" s="17" t="e">
        <f>+MATCH($B211,#REF!,0)</f>
        <v>#REF!</v>
      </c>
      <c r="B211" s="1" t="s">
        <v>376</v>
      </c>
      <c r="C211" s="13">
        <v>20</v>
      </c>
      <c r="D211" s="13">
        <v>41</v>
      </c>
      <c r="E211" s="13">
        <v>94</v>
      </c>
      <c r="F211" s="18">
        <v>58.545454545454547</v>
      </c>
      <c r="G211" s="13">
        <v>51</v>
      </c>
      <c r="H211" s="18">
        <v>464.18072097601544</v>
      </c>
      <c r="I211" s="13" t="e">
        <f t="shared" si="3"/>
        <v>#REF!</v>
      </c>
    </row>
    <row r="212" spans="1:9" x14ac:dyDescent="0.25">
      <c r="A212" s="17" t="e">
        <f>+MATCH($B212,#REF!,0)</f>
        <v>#REF!</v>
      </c>
      <c r="B212" s="1" t="s">
        <v>389</v>
      </c>
      <c r="C212" s="13">
        <v>19</v>
      </c>
      <c r="D212" s="13">
        <v>67</v>
      </c>
      <c r="E212" s="13">
        <v>162</v>
      </c>
      <c r="F212" s="18">
        <v>115.63636363636364</v>
      </c>
      <c r="G212" s="13">
        <v>106.5</v>
      </c>
      <c r="H212" s="18">
        <v>464.18072097601498</v>
      </c>
      <c r="I212" s="13" t="e">
        <f t="shared" si="3"/>
        <v>#REF!</v>
      </c>
    </row>
    <row r="213" spans="1:9" x14ac:dyDescent="0.25">
      <c r="A213" s="17" t="e">
        <f>+MATCH($B213,#REF!,0)</f>
        <v>#REF!</v>
      </c>
      <c r="B213" s="1" t="s">
        <v>203</v>
      </c>
      <c r="C213" s="13">
        <v>16</v>
      </c>
      <c r="D213" s="13">
        <v>192</v>
      </c>
      <c r="E213" s="13">
        <v>242</v>
      </c>
      <c r="F213" s="18">
        <v>221.72727272727272</v>
      </c>
      <c r="G213" s="13">
        <v>223</v>
      </c>
      <c r="H213" s="18">
        <v>463.26726071079588</v>
      </c>
      <c r="I213" s="13" t="e">
        <f t="shared" si="3"/>
        <v>#REF!</v>
      </c>
    </row>
    <row r="214" spans="1:9" x14ac:dyDescent="0.25">
      <c r="A214" s="17" t="e">
        <f>+MATCH($B214,#REF!,0)</f>
        <v>#REF!</v>
      </c>
      <c r="B214" s="1" t="s">
        <v>326</v>
      </c>
      <c r="C214" s="13">
        <v>18</v>
      </c>
      <c r="D214" s="13">
        <v>118</v>
      </c>
      <c r="E214" s="13">
        <v>205</v>
      </c>
      <c r="F214" s="18">
        <v>169.95454545454547</v>
      </c>
      <c r="G214" s="13">
        <v>165</v>
      </c>
      <c r="H214" s="18">
        <v>463</v>
      </c>
      <c r="I214" s="13" t="e">
        <f t="shared" si="3"/>
        <v>#REF!</v>
      </c>
    </row>
    <row r="215" spans="1:9" x14ac:dyDescent="0.25">
      <c r="A215" s="17" t="e">
        <f>+MATCH($B215,#REF!,0)</f>
        <v>#REF!</v>
      </c>
      <c r="B215" s="1" t="s">
        <v>454</v>
      </c>
      <c r="C215" s="13">
        <v>12</v>
      </c>
      <c r="D215" s="13">
        <v>231</v>
      </c>
      <c r="E215" s="13">
        <v>257</v>
      </c>
      <c r="F215" s="18">
        <v>246.95454545454547</v>
      </c>
      <c r="G215" s="13">
        <v>249.5</v>
      </c>
      <c r="H215" s="18">
        <v>460.15437001990631</v>
      </c>
      <c r="I215" s="13" t="e">
        <f t="shared" si="3"/>
        <v>#REF!</v>
      </c>
    </row>
    <row r="216" spans="1:9" x14ac:dyDescent="0.25">
      <c r="A216" s="17" t="e">
        <f>+MATCH($B216,#REF!,0)</f>
        <v>#REF!</v>
      </c>
      <c r="B216" s="1" t="s">
        <v>426</v>
      </c>
      <c r="C216" s="13">
        <v>18</v>
      </c>
      <c r="D216" s="13">
        <v>20</v>
      </c>
      <c r="E216" s="13">
        <v>207</v>
      </c>
      <c r="F216" s="18">
        <v>140.86363636363637</v>
      </c>
      <c r="G216" s="13">
        <v>143.5</v>
      </c>
      <c r="H216" s="18">
        <v>459.60071285295487</v>
      </c>
      <c r="I216" s="13" t="e">
        <f t="shared" si="3"/>
        <v>#REF!</v>
      </c>
    </row>
    <row r="217" spans="1:9" x14ac:dyDescent="0.25">
      <c r="A217" s="17" t="e">
        <f>+MATCH($B217,#REF!,0)</f>
        <v>#REF!</v>
      </c>
      <c r="B217" s="1" t="s">
        <v>342</v>
      </c>
      <c r="C217" s="13">
        <v>19</v>
      </c>
      <c r="D217" s="13">
        <v>95</v>
      </c>
      <c r="E217" s="13">
        <v>194</v>
      </c>
      <c r="F217" s="18">
        <v>127.45454545454545</v>
      </c>
      <c r="G217" s="13">
        <v>125</v>
      </c>
      <c r="H217" s="18">
        <v>456.60000000000014</v>
      </c>
      <c r="I217" s="13" t="e">
        <f t="shared" si="3"/>
        <v>#REF!</v>
      </c>
    </row>
    <row r="218" spans="1:9" x14ac:dyDescent="0.25">
      <c r="A218" s="17" t="e">
        <f>+MATCH($B218,#REF!,0)</f>
        <v>#REF!</v>
      </c>
      <c r="B218" s="1" t="s">
        <v>206</v>
      </c>
      <c r="C218" s="13">
        <v>18</v>
      </c>
      <c r="D218" s="13">
        <v>100</v>
      </c>
      <c r="E218" s="13">
        <v>142</v>
      </c>
      <c r="F218" s="18">
        <v>120</v>
      </c>
      <c r="G218" s="13">
        <v>119.5</v>
      </c>
      <c r="H218" s="18">
        <v>455.30000000000018</v>
      </c>
      <c r="I218" s="13" t="e">
        <f t="shared" si="3"/>
        <v>#REF!</v>
      </c>
    </row>
    <row r="219" spans="1:9" x14ac:dyDescent="0.25">
      <c r="A219" s="17" t="e">
        <f>+MATCH($B219,#REF!,0)</f>
        <v>#REF!</v>
      </c>
      <c r="B219" s="1" t="s">
        <v>348</v>
      </c>
      <c r="C219" s="13">
        <v>19</v>
      </c>
      <c r="D219" s="13">
        <v>51</v>
      </c>
      <c r="E219" s="13">
        <v>143</v>
      </c>
      <c r="F219" s="18">
        <v>79.86363636363636</v>
      </c>
      <c r="G219" s="13">
        <v>72</v>
      </c>
      <c r="H219" s="18">
        <v>448.40000000000009</v>
      </c>
      <c r="I219" s="13" t="e">
        <f t="shared" si="3"/>
        <v>#REF!</v>
      </c>
    </row>
    <row r="220" spans="1:9" x14ac:dyDescent="0.25">
      <c r="A220" s="17" t="e">
        <f>+MATCH($B220,#REF!,0)</f>
        <v>#REF!</v>
      </c>
      <c r="B220" s="1" t="s">
        <v>322</v>
      </c>
      <c r="C220" s="13">
        <v>19</v>
      </c>
      <c r="D220" s="13">
        <v>132</v>
      </c>
      <c r="E220" s="13">
        <v>211</v>
      </c>
      <c r="F220" s="18">
        <v>179</v>
      </c>
      <c r="G220" s="13">
        <v>183.5</v>
      </c>
      <c r="H220" s="18">
        <v>437.4</v>
      </c>
      <c r="I220" s="13" t="e">
        <f t="shared" si="3"/>
        <v>#REF!</v>
      </c>
    </row>
    <row r="221" spans="1:9" x14ac:dyDescent="0.25">
      <c r="A221" s="17" t="e">
        <f>+MATCH($B221,#REF!,0)</f>
        <v>#REF!</v>
      </c>
      <c r="B221" s="1" t="s">
        <v>211</v>
      </c>
      <c r="C221" s="13">
        <v>18</v>
      </c>
      <c r="D221" s="13">
        <v>24</v>
      </c>
      <c r="E221" s="13">
        <v>214</v>
      </c>
      <c r="F221" s="18">
        <v>167.22727272727272</v>
      </c>
      <c r="G221" s="13">
        <v>196</v>
      </c>
      <c r="H221" s="18">
        <v>435.90071285295488</v>
      </c>
      <c r="I221" s="13" t="e">
        <f t="shared" si="3"/>
        <v>#REF!</v>
      </c>
    </row>
    <row r="222" spans="1:9" x14ac:dyDescent="0.25">
      <c r="A222" s="17" t="e">
        <f>+MATCH($B222,#REF!,0)</f>
        <v>#REF!</v>
      </c>
      <c r="B222" s="1" t="s">
        <v>434</v>
      </c>
      <c r="C222" s="13">
        <v>9</v>
      </c>
      <c r="D222" s="13">
        <v>106</v>
      </c>
      <c r="E222" s="13">
        <v>256</v>
      </c>
      <c r="F222" s="18">
        <v>234.54545454545453</v>
      </c>
      <c r="G222" s="13">
        <v>245</v>
      </c>
      <c r="H222" s="18">
        <v>434.31137446743941</v>
      </c>
      <c r="I222" s="13" t="e">
        <f t="shared" si="3"/>
        <v>#REF!</v>
      </c>
    </row>
    <row r="223" spans="1:9" x14ac:dyDescent="0.25">
      <c r="A223" s="17" t="e">
        <f>+MATCH($B223,#REF!,0)</f>
        <v>#REF!</v>
      </c>
      <c r="B223" s="1" t="s">
        <v>455</v>
      </c>
      <c r="C223" s="13">
        <v>18</v>
      </c>
      <c r="D223" s="13">
        <v>160</v>
      </c>
      <c r="E223" s="13">
        <v>221</v>
      </c>
      <c r="F223" s="18">
        <v>184.68181818181819</v>
      </c>
      <c r="G223" s="13">
        <v>176</v>
      </c>
      <c r="H223" s="18">
        <v>433.00000000000023</v>
      </c>
      <c r="I223" s="13" t="e">
        <f t="shared" si="3"/>
        <v>#REF!</v>
      </c>
    </row>
    <row r="224" spans="1:9" x14ac:dyDescent="0.25">
      <c r="A224" s="17" t="e">
        <f>+MATCH($B224,#REF!,0)</f>
        <v>#REF!</v>
      </c>
      <c r="B224" s="1" t="s">
        <v>309</v>
      </c>
      <c r="C224" s="13">
        <v>20</v>
      </c>
      <c r="D224" s="13">
        <v>64</v>
      </c>
      <c r="E224" s="13">
        <v>199</v>
      </c>
      <c r="F224" s="18">
        <v>132</v>
      </c>
      <c r="G224" s="13">
        <v>113.5</v>
      </c>
      <c r="H224" s="18">
        <v>433</v>
      </c>
      <c r="I224" s="13" t="e">
        <f t="shared" si="3"/>
        <v>#REF!</v>
      </c>
    </row>
    <row r="225" spans="1:9" x14ac:dyDescent="0.25">
      <c r="A225" s="17" t="e">
        <f>+MATCH($B225,#REF!,0)</f>
        <v>#REF!</v>
      </c>
      <c r="B225" s="1" t="s">
        <v>219</v>
      </c>
      <c r="C225" s="13">
        <v>19</v>
      </c>
      <c r="D225" s="13">
        <v>105</v>
      </c>
      <c r="E225" s="13">
        <v>220</v>
      </c>
      <c r="F225" s="18">
        <v>145.45454545454547</v>
      </c>
      <c r="G225" s="13">
        <v>141</v>
      </c>
      <c r="H225" s="18">
        <v>433</v>
      </c>
      <c r="I225" s="13" t="e">
        <f t="shared" si="3"/>
        <v>#REF!</v>
      </c>
    </row>
    <row r="226" spans="1:9" x14ac:dyDescent="0.25">
      <c r="A226" s="17" t="e">
        <f>+MATCH($B226,#REF!,0)</f>
        <v>#REF!</v>
      </c>
      <c r="B226" s="1" t="s">
        <v>236</v>
      </c>
      <c r="C226" s="13">
        <v>10</v>
      </c>
      <c r="D226" s="13">
        <v>27</v>
      </c>
      <c r="E226" s="13">
        <v>234</v>
      </c>
      <c r="F226" s="18">
        <v>172.36363636363637</v>
      </c>
      <c r="G226" s="13">
        <v>200</v>
      </c>
      <c r="H226" s="18">
        <v>432.41311184517065</v>
      </c>
      <c r="I226" s="13" t="e">
        <f t="shared" si="3"/>
        <v>#REF!</v>
      </c>
    </row>
    <row r="227" spans="1:9" x14ac:dyDescent="0.25">
      <c r="A227" s="17" t="e">
        <f>+MATCH($B227,#REF!,0)</f>
        <v>#REF!</v>
      </c>
      <c r="B227" s="1" t="s">
        <v>305</v>
      </c>
      <c r="C227" s="13">
        <v>20</v>
      </c>
      <c r="D227" s="13">
        <v>158</v>
      </c>
      <c r="E227" s="13">
        <v>220</v>
      </c>
      <c r="F227" s="18">
        <v>183.86363636363637</v>
      </c>
      <c r="G227" s="13">
        <v>181.5</v>
      </c>
      <c r="H227" s="18">
        <v>431.86992227763858</v>
      </c>
      <c r="I227" s="13" t="e">
        <f t="shared" si="3"/>
        <v>#REF!</v>
      </c>
    </row>
    <row r="228" spans="1:9" x14ac:dyDescent="0.25">
      <c r="A228" s="17" t="e">
        <f>+MATCH($B228,#REF!,0)</f>
        <v>#REF!</v>
      </c>
      <c r="B228" s="1" t="s">
        <v>440</v>
      </c>
      <c r="C228" s="13">
        <v>20</v>
      </c>
      <c r="D228" s="13">
        <v>87</v>
      </c>
      <c r="E228" s="13">
        <v>181</v>
      </c>
      <c r="F228" s="18">
        <v>122.45454545454545</v>
      </c>
      <c r="G228" s="13">
        <v>111.5</v>
      </c>
      <c r="H228" s="18">
        <v>426.90339887498976</v>
      </c>
      <c r="I228" s="13" t="e">
        <f t="shared" si="3"/>
        <v>#REF!</v>
      </c>
    </row>
    <row r="229" spans="1:9" x14ac:dyDescent="0.25">
      <c r="A229" s="17" t="e">
        <f>+MATCH($B229,#REF!,0)</f>
        <v>#REF!</v>
      </c>
      <c r="B229" s="1" t="s">
        <v>387</v>
      </c>
      <c r="C229" s="13">
        <v>19</v>
      </c>
      <c r="D229" s="13">
        <v>55</v>
      </c>
      <c r="E229" s="13">
        <v>218</v>
      </c>
      <c r="F229" s="18">
        <v>177.90909090909091</v>
      </c>
      <c r="G229" s="13">
        <v>181</v>
      </c>
      <c r="H229" s="18">
        <v>414.59999999999991</v>
      </c>
      <c r="I229" s="13" t="e">
        <f t="shared" si="3"/>
        <v>#REF!</v>
      </c>
    </row>
    <row r="230" spans="1:9" x14ac:dyDescent="0.25">
      <c r="A230" s="17" t="e">
        <f>+MATCH($B230,#REF!,0)</f>
        <v>#REF!</v>
      </c>
      <c r="B230" s="1" t="s">
        <v>240</v>
      </c>
      <c r="C230" s="13">
        <v>21</v>
      </c>
      <c r="D230" s="13">
        <v>76</v>
      </c>
      <c r="E230" s="13">
        <v>167</v>
      </c>
      <c r="F230" s="18">
        <v>110.27272727272727</v>
      </c>
      <c r="G230" s="13">
        <v>107</v>
      </c>
      <c r="H230" s="18">
        <v>412.69847708551617</v>
      </c>
      <c r="I230" s="13" t="e">
        <f t="shared" si="3"/>
        <v>#REF!</v>
      </c>
    </row>
    <row r="231" spans="1:9" x14ac:dyDescent="0.25">
      <c r="A231" s="17" t="e">
        <f>+MATCH($B231,#REF!,0)</f>
        <v>#REF!</v>
      </c>
      <c r="B231" s="1" t="s">
        <v>337</v>
      </c>
      <c r="C231" s="13">
        <v>20</v>
      </c>
      <c r="D231" s="13">
        <v>43</v>
      </c>
      <c r="E231" s="13">
        <v>163</v>
      </c>
      <c r="F231" s="18">
        <v>98.227272727272734</v>
      </c>
      <c r="G231" s="13">
        <v>109.5</v>
      </c>
      <c r="H231" s="18">
        <v>411.89847708551611</v>
      </c>
      <c r="I231" s="13" t="e">
        <f t="shared" si="3"/>
        <v>#REF!</v>
      </c>
    </row>
    <row r="232" spans="1:9" x14ac:dyDescent="0.25">
      <c r="A232" s="17" t="e">
        <f>+MATCH($B232,#REF!,0)</f>
        <v>#REF!</v>
      </c>
      <c r="B232" s="1" t="s">
        <v>438</v>
      </c>
      <c r="C232" s="13">
        <v>17</v>
      </c>
      <c r="D232" s="13">
        <v>106</v>
      </c>
      <c r="E232" s="13">
        <v>198</v>
      </c>
      <c r="F232" s="18">
        <v>152.22727272727272</v>
      </c>
      <c r="G232" s="13">
        <v>157</v>
      </c>
      <c r="H232" s="18">
        <v>409.59999999999968</v>
      </c>
      <c r="I232" s="13" t="e">
        <f t="shared" si="3"/>
        <v>#REF!</v>
      </c>
    </row>
    <row r="233" spans="1:9" x14ac:dyDescent="0.25">
      <c r="A233" s="17" t="e">
        <f>+MATCH($B233,#REF!,0)</f>
        <v>#REF!</v>
      </c>
      <c r="B233" s="1" t="s">
        <v>423</v>
      </c>
      <c r="C233" s="13">
        <v>19</v>
      </c>
      <c r="D233" s="13">
        <v>74</v>
      </c>
      <c r="E233" s="13">
        <v>177</v>
      </c>
      <c r="F233" s="18">
        <v>111.68181818181819</v>
      </c>
      <c r="G233" s="13">
        <v>104</v>
      </c>
      <c r="H233" s="18">
        <v>405.40000000000009</v>
      </c>
      <c r="I233" s="13" t="e">
        <f t="shared" si="3"/>
        <v>#REF!</v>
      </c>
    </row>
    <row r="234" spans="1:9" x14ac:dyDescent="0.25">
      <c r="A234" s="17" t="e">
        <f>+MATCH($B234,#REF!,0)</f>
        <v>#REF!</v>
      </c>
      <c r="B234" s="1" t="s">
        <v>382</v>
      </c>
      <c r="C234" s="13">
        <v>13</v>
      </c>
      <c r="D234" s="13">
        <v>244</v>
      </c>
      <c r="E234" s="13">
        <v>256</v>
      </c>
      <c r="F234" s="18">
        <v>250.18181818181819</v>
      </c>
      <c r="G234" s="13">
        <v>248.5</v>
      </c>
      <c r="H234" s="18">
        <v>404.38581487988665</v>
      </c>
      <c r="I234" s="13" t="e">
        <f t="shared" si="3"/>
        <v>#REF!</v>
      </c>
    </row>
    <row r="235" spans="1:9" x14ac:dyDescent="0.25">
      <c r="A235" s="17" t="e">
        <f>+MATCH($B235,#REF!,0)</f>
        <v>#REF!</v>
      </c>
      <c r="B235" s="1" t="s">
        <v>294</v>
      </c>
      <c r="C235" s="13">
        <v>19</v>
      </c>
      <c r="D235" s="13">
        <v>91</v>
      </c>
      <c r="E235" s="13">
        <v>239</v>
      </c>
      <c r="F235" s="18">
        <v>209.59090909090909</v>
      </c>
      <c r="G235" s="13">
        <v>220</v>
      </c>
      <c r="H235" s="18">
        <v>403.99999999999955</v>
      </c>
      <c r="I235" s="13" t="e">
        <f t="shared" si="3"/>
        <v>#REF!</v>
      </c>
    </row>
    <row r="236" spans="1:9" x14ac:dyDescent="0.25">
      <c r="A236" s="17" t="e">
        <f>+MATCH($B236,#REF!,0)</f>
        <v>#REF!</v>
      </c>
      <c r="B236" s="1" t="s">
        <v>209</v>
      </c>
      <c r="C236" s="13">
        <v>19</v>
      </c>
      <c r="D236" s="13">
        <v>29</v>
      </c>
      <c r="E236" s="13">
        <v>205</v>
      </c>
      <c r="F236" s="18">
        <v>59.545454545454547</v>
      </c>
      <c r="G236" s="13">
        <v>42</v>
      </c>
      <c r="H236" s="18">
        <v>402.00715055419232</v>
      </c>
      <c r="I236" s="13" t="e">
        <f t="shared" si="3"/>
        <v>#REF!</v>
      </c>
    </row>
    <row r="237" spans="1:9" x14ac:dyDescent="0.25">
      <c r="A237" s="17" t="e">
        <f>+MATCH($B237,#REF!,0)</f>
        <v>#REF!</v>
      </c>
      <c r="B237" s="1" t="s">
        <v>363</v>
      </c>
      <c r="C237" s="13">
        <v>19</v>
      </c>
      <c r="D237" s="13">
        <v>88</v>
      </c>
      <c r="E237" s="13">
        <v>201</v>
      </c>
      <c r="F237" s="18">
        <v>133.18181818181819</v>
      </c>
      <c r="G237" s="13">
        <v>135</v>
      </c>
      <c r="H237" s="18">
        <v>401</v>
      </c>
      <c r="I237" s="13" t="e">
        <f t="shared" si="3"/>
        <v>#REF!</v>
      </c>
    </row>
    <row r="238" spans="1:9" x14ac:dyDescent="0.25">
      <c r="A238" s="17" t="e">
        <f>+MATCH($B238,#REF!,0)</f>
        <v>#REF!</v>
      </c>
      <c r="B238" s="1" t="s">
        <v>408</v>
      </c>
      <c r="C238" s="13">
        <v>10</v>
      </c>
      <c r="D238" s="13">
        <v>229</v>
      </c>
      <c r="E238" s="13">
        <v>258</v>
      </c>
      <c r="F238" s="18">
        <v>252.13636363636363</v>
      </c>
      <c r="G238" s="13">
        <v>253.5</v>
      </c>
      <c r="H238" s="18">
        <v>398.71019662496838</v>
      </c>
      <c r="I238" s="13" t="e">
        <f t="shared" si="3"/>
        <v>#REF!</v>
      </c>
    </row>
    <row r="239" spans="1:9" x14ac:dyDescent="0.25">
      <c r="A239" s="17" t="e">
        <f>+MATCH($B239,#REF!,0)</f>
        <v>#REF!</v>
      </c>
      <c r="B239" s="1" t="s">
        <v>336</v>
      </c>
      <c r="C239" s="13">
        <v>18</v>
      </c>
      <c r="D239" s="13">
        <v>87</v>
      </c>
      <c r="E239" s="13">
        <v>184</v>
      </c>
      <c r="F239" s="18">
        <v>143.18181818181819</v>
      </c>
      <c r="G239" s="13">
        <v>150.5</v>
      </c>
      <c r="H239" s="18">
        <v>390.4</v>
      </c>
      <c r="I239" s="13" t="e">
        <f t="shared" si="3"/>
        <v>#REF!</v>
      </c>
    </row>
    <row r="240" spans="1:9" x14ac:dyDescent="0.25">
      <c r="A240" s="17" t="e">
        <f>+MATCH($B240,#REF!,0)</f>
        <v>#REF!</v>
      </c>
      <c r="B240" s="1" t="s">
        <v>333</v>
      </c>
      <c r="C240" s="13">
        <v>18</v>
      </c>
      <c r="D240" s="13">
        <v>129</v>
      </c>
      <c r="E240" s="13">
        <v>191</v>
      </c>
      <c r="F240" s="18">
        <v>167.72727272727272</v>
      </c>
      <c r="G240" s="13">
        <v>167</v>
      </c>
      <c r="H240" s="18">
        <v>386.30000000000018</v>
      </c>
      <c r="I240" s="13" t="e">
        <f t="shared" si="3"/>
        <v>#REF!</v>
      </c>
    </row>
    <row r="241" spans="1:9" x14ac:dyDescent="0.25">
      <c r="A241" s="17" t="e">
        <f>+MATCH($B241,#REF!,0)</f>
        <v>#REF!</v>
      </c>
      <c r="B241" s="1" t="s">
        <v>230</v>
      </c>
      <c r="C241" s="13">
        <v>20</v>
      </c>
      <c r="D241" s="13">
        <v>102</v>
      </c>
      <c r="E241" s="13">
        <v>198</v>
      </c>
      <c r="F241" s="18">
        <v>145.72727272727272</v>
      </c>
      <c r="G241" s="13">
        <v>147</v>
      </c>
      <c r="H241" s="18">
        <v>385.60000000000014</v>
      </c>
      <c r="I241" s="13" t="e">
        <f t="shared" si="3"/>
        <v>#REF!</v>
      </c>
    </row>
    <row r="242" spans="1:9" x14ac:dyDescent="0.25">
      <c r="A242" s="17" t="e">
        <f>+MATCH($B242,#REF!,0)</f>
        <v>#REF!</v>
      </c>
      <c r="B242" s="1" t="s">
        <v>328</v>
      </c>
      <c r="C242" s="13">
        <v>16</v>
      </c>
      <c r="D242" s="13">
        <v>87</v>
      </c>
      <c r="E242" s="13">
        <v>243</v>
      </c>
      <c r="F242" s="18">
        <v>204.77272727272728</v>
      </c>
      <c r="G242" s="13">
        <v>213.5</v>
      </c>
      <c r="H242" s="18">
        <v>385.59999999999991</v>
      </c>
      <c r="I242" s="13" t="e">
        <f t="shared" si="3"/>
        <v>#REF!</v>
      </c>
    </row>
    <row r="243" spans="1:9" x14ac:dyDescent="0.25">
      <c r="A243" s="17" t="e">
        <f>+MATCH($B243,#REF!,0)</f>
        <v>#REF!</v>
      </c>
      <c r="B243" s="1" t="s">
        <v>260</v>
      </c>
      <c r="C243" s="13">
        <v>20</v>
      </c>
      <c r="D243" s="13">
        <v>46</v>
      </c>
      <c r="E243" s="13">
        <v>108</v>
      </c>
      <c r="F243" s="18">
        <v>92.181818181818187</v>
      </c>
      <c r="G243" s="13">
        <v>99</v>
      </c>
      <c r="H243" s="18">
        <v>380.59999999999991</v>
      </c>
      <c r="I243" s="13" t="e">
        <f t="shared" si="3"/>
        <v>#REF!</v>
      </c>
    </row>
    <row r="244" spans="1:9" x14ac:dyDescent="0.25">
      <c r="A244" s="17" t="e">
        <f>+MATCH($B244,#REF!,0)</f>
        <v>#REF!</v>
      </c>
      <c r="B244" s="1" t="s">
        <v>307</v>
      </c>
      <c r="C244" s="13">
        <v>19</v>
      </c>
      <c r="D244" s="13">
        <v>42</v>
      </c>
      <c r="E244" s="13">
        <v>192</v>
      </c>
      <c r="F244" s="18">
        <v>143</v>
      </c>
      <c r="G244" s="13">
        <v>152</v>
      </c>
      <c r="H244" s="18">
        <v>378.64514538560462</v>
      </c>
      <c r="I244" s="13" t="e">
        <f t="shared" si="3"/>
        <v>#REF!</v>
      </c>
    </row>
    <row r="245" spans="1:9" x14ac:dyDescent="0.25">
      <c r="A245" s="17" t="e">
        <f>+MATCH($B245,#REF!,0)</f>
        <v>#REF!</v>
      </c>
      <c r="B245" s="1" t="s">
        <v>296</v>
      </c>
      <c r="C245" s="13">
        <v>16</v>
      </c>
      <c r="D245" s="13">
        <v>64</v>
      </c>
      <c r="E245" s="13">
        <v>247</v>
      </c>
      <c r="F245" s="18">
        <v>224.90909090909091</v>
      </c>
      <c r="G245" s="13">
        <v>237</v>
      </c>
      <c r="H245" s="18">
        <v>378.64514538560456</v>
      </c>
      <c r="I245" s="13" t="e">
        <f t="shared" si="3"/>
        <v>#REF!</v>
      </c>
    </row>
    <row r="246" spans="1:9" x14ac:dyDescent="0.25">
      <c r="A246" s="17" t="e">
        <f>+MATCH($B246,#REF!,0)</f>
        <v>#REF!</v>
      </c>
      <c r="B246" s="1" t="s">
        <v>356</v>
      </c>
      <c r="C246" s="13">
        <v>19</v>
      </c>
      <c r="D246" s="13">
        <v>111</v>
      </c>
      <c r="E246" s="13">
        <v>179</v>
      </c>
      <c r="F246" s="18">
        <v>155.36363636363637</v>
      </c>
      <c r="G246" s="13">
        <v>156.5</v>
      </c>
      <c r="H246" s="18">
        <v>377.80000000000018</v>
      </c>
      <c r="I246" s="13" t="e">
        <f t="shared" si="3"/>
        <v>#REF!</v>
      </c>
    </row>
    <row r="247" spans="1:9" x14ac:dyDescent="0.25">
      <c r="A247" s="17" t="e">
        <f>+MATCH($B247,#REF!,0)</f>
        <v>#REF!</v>
      </c>
      <c r="B247" s="1" t="s">
        <v>344</v>
      </c>
      <c r="C247" s="13">
        <v>19</v>
      </c>
      <c r="D247" s="13">
        <v>90</v>
      </c>
      <c r="E247" s="13">
        <v>168</v>
      </c>
      <c r="F247" s="18">
        <v>128.36363636363637</v>
      </c>
      <c r="G247" s="13">
        <v>128</v>
      </c>
      <c r="H247" s="18">
        <v>372.20000000000005</v>
      </c>
      <c r="I247" s="13" t="e">
        <f t="shared" si="3"/>
        <v>#REF!</v>
      </c>
    </row>
    <row r="248" spans="1:9" x14ac:dyDescent="0.25">
      <c r="A248" s="17" t="e">
        <f>+MATCH($B248,#REF!,0)</f>
        <v>#REF!</v>
      </c>
      <c r="B248" s="1" t="s">
        <v>443</v>
      </c>
      <c r="C248" s="13">
        <v>11</v>
      </c>
      <c r="D248" s="13">
        <v>67</v>
      </c>
      <c r="E248" s="13">
        <v>248</v>
      </c>
      <c r="F248" s="18">
        <v>207.31818181818181</v>
      </c>
      <c r="G248" s="13">
        <v>228</v>
      </c>
      <c r="H248" s="18">
        <v>369.41037508956049</v>
      </c>
      <c r="I248" s="13" t="e">
        <f t="shared" si="3"/>
        <v>#REF!</v>
      </c>
    </row>
    <row r="249" spans="1:9" x14ac:dyDescent="0.25">
      <c r="A249" s="17" t="e">
        <f>+MATCH($B249,#REF!,0)</f>
        <v>#REF!</v>
      </c>
      <c r="B249" s="1" t="s">
        <v>446</v>
      </c>
      <c r="C249" s="13">
        <v>13</v>
      </c>
      <c r="D249" s="13">
        <v>33</v>
      </c>
      <c r="E249" s="13">
        <v>250</v>
      </c>
      <c r="F249" s="18">
        <v>216.13636363636363</v>
      </c>
      <c r="G249" s="13">
        <v>235.5</v>
      </c>
      <c r="H249" s="18">
        <v>366.10071285295493</v>
      </c>
      <c r="I249" s="13" t="e">
        <f t="shared" si="3"/>
        <v>#REF!</v>
      </c>
    </row>
    <row r="250" spans="1:9" x14ac:dyDescent="0.25">
      <c r="A250" s="17" t="e">
        <f>+MATCH($B250,#REF!,0)</f>
        <v>#REF!</v>
      </c>
      <c r="B250" s="1" t="s">
        <v>428</v>
      </c>
      <c r="C250" s="13">
        <v>14</v>
      </c>
      <c r="D250" s="13">
        <v>100</v>
      </c>
      <c r="E250" s="13">
        <v>243</v>
      </c>
      <c r="F250" s="18">
        <v>213.54545454545453</v>
      </c>
      <c r="G250" s="13">
        <v>226.5</v>
      </c>
      <c r="H250" s="18">
        <v>361.10000000000014</v>
      </c>
      <c r="I250" s="13" t="e">
        <f t="shared" si="3"/>
        <v>#REF!</v>
      </c>
    </row>
    <row r="251" spans="1:9" x14ac:dyDescent="0.25">
      <c r="A251" s="17" t="e">
        <f>+MATCH($B251,#REF!,0)</f>
        <v>#REF!</v>
      </c>
      <c r="B251" s="1" t="s">
        <v>283</v>
      </c>
      <c r="C251" s="13">
        <v>9</v>
      </c>
      <c r="D251" s="13">
        <v>193</v>
      </c>
      <c r="E251" s="13">
        <v>255</v>
      </c>
      <c r="F251" s="18">
        <v>239.22727272727272</v>
      </c>
      <c r="G251" s="13">
        <v>240</v>
      </c>
      <c r="H251" s="18">
        <v>353.06660521889125</v>
      </c>
      <c r="I251" s="13" t="e">
        <f t="shared" si="3"/>
        <v>#REF!</v>
      </c>
    </row>
    <row r="252" spans="1:9" x14ac:dyDescent="0.25">
      <c r="A252" s="17" t="e">
        <f>+MATCH($B252,#REF!,0)</f>
        <v>#REF!</v>
      </c>
      <c r="B252" s="1" t="s">
        <v>334</v>
      </c>
      <c r="C252" s="13">
        <v>18</v>
      </c>
      <c r="D252" s="13">
        <v>37</v>
      </c>
      <c r="E252" s="13">
        <v>215</v>
      </c>
      <c r="F252" s="18">
        <v>168.31818181818181</v>
      </c>
      <c r="G252" s="13">
        <v>187.5</v>
      </c>
      <c r="H252" s="18">
        <v>348.84954312565515</v>
      </c>
      <c r="I252" s="13" t="e">
        <f t="shared" si="3"/>
        <v>#REF!</v>
      </c>
    </row>
    <row r="253" spans="1:9" x14ac:dyDescent="0.25">
      <c r="A253" s="17" t="e">
        <f>+MATCH($B253,#REF!,0)</f>
        <v>#REF!</v>
      </c>
      <c r="B253" s="1" t="s">
        <v>304</v>
      </c>
      <c r="C253" s="13">
        <v>20</v>
      </c>
      <c r="D253" s="13">
        <v>66</v>
      </c>
      <c r="E253" s="13">
        <v>202</v>
      </c>
      <c r="F253" s="18">
        <v>151.18181818181819</v>
      </c>
      <c r="G253" s="13">
        <v>153.5</v>
      </c>
      <c r="H253" s="18">
        <v>347.80000000000018</v>
      </c>
      <c r="I253" s="13" t="e">
        <f t="shared" si="3"/>
        <v>#REF!</v>
      </c>
    </row>
    <row r="254" spans="1:9" x14ac:dyDescent="0.25">
      <c r="A254" s="17" t="e">
        <f>+MATCH($B254,#REF!,0)</f>
        <v>#REF!</v>
      </c>
      <c r="B254" s="1" t="s">
        <v>118</v>
      </c>
      <c r="C254" s="13">
        <v>12</v>
      </c>
      <c r="D254" s="13">
        <v>177</v>
      </c>
      <c r="E254" s="13">
        <v>251</v>
      </c>
      <c r="F254" s="18">
        <v>237.40909090909091</v>
      </c>
      <c r="G254" s="13">
        <v>240.5</v>
      </c>
      <c r="H254" s="18">
        <v>345.91137446743943</v>
      </c>
      <c r="I254" s="13" t="e">
        <f t="shared" si="3"/>
        <v>#REF!</v>
      </c>
    </row>
    <row r="255" spans="1:9" x14ac:dyDescent="0.25">
      <c r="A255" s="17" t="e">
        <f>+MATCH($B255,#REF!,0)</f>
        <v>#REF!</v>
      </c>
      <c r="B255" s="1" t="s">
        <v>202</v>
      </c>
      <c r="C255" s="13">
        <v>2</v>
      </c>
      <c r="D255" s="13">
        <v>258</v>
      </c>
      <c r="E255" s="13">
        <v>262</v>
      </c>
      <c r="F255" s="18">
        <v>260.18181818181819</v>
      </c>
      <c r="G255" s="13">
        <v>260</v>
      </c>
      <c r="H255" s="18">
        <v>303.2893611599149</v>
      </c>
      <c r="I255" s="13" t="e">
        <f t="shared" si="3"/>
        <v>#REF!</v>
      </c>
    </row>
    <row r="256" spans="1:9" x14ac:dyDescent="0.25">
      <c r="A256" s="17" t="e">
        <f>+MATCH($B256,#REF!,0)</f>
        <v>#REF!</v>
      </c>
      <c r="B256" s="1" t="s">
        <v>267</v>
      </c>
      <c r="C256" s="13">
        <v>11</v>
      </c>
      <c r="D256" s="13">
        <v>59</v>
      </c>
      <c r="E256" s="13">
        <v>259</v>
      </c>
      <c r="F256" s="18">
        <v>233.54545454545453</v>
      </c>
      <c r="G256" s="13">
        <v>254.5</v>
      </c>
      <c r="H256" s="18">
        <v>295.80071285295492</v>
      </c>
      <c r="I256" s="13" t="e">
        <f t="shared" si="3"/>
        <v>#REF!</v>
      </c>
    </row>
    <row r="257" spans="1:9" x14ac:dyDescent="0.25">
      <c r="A257" s="17" t="e">
        <f>+MATCH($B257,#REF!,0)</f>
        <v>#REF!</v>
      </c>
      <c r="B257" s="1" t="s">
        <v>424</v>
      </c>
      <c r="C257" s="13">
        <v>7</v>
      </c>
      <c r="D257" s="13">
        <v>260</v>
      </c>
      <c r="E257" s="13">
        <v>262</v>
      </c>
      <c r="F257" s="18">
        <v>261.72727272727275</v>
      </c>
      <c r="G257" s="13">
        <v>262</v>
      </c>
      <c r="H257" s="18">
        <v>293.98218265118123</v>
      </c>
      <c r="I257" s="13" t="e">
        <f t="shared" si="3"/>
        <v>#REF!</v>
      </c>
    </row>
    <row r="258" spans="1:9" x14ac:dyDescent="0.25">
      <c r="A258" s="17" t="e">
        <f>+MATCH($B258,#REF!,0)</f>
        <v>#REF!</v>
      </c>
      <c r="B258" s="1" t="s">
        <v>359</v>
      </c>
      <c r="C258" s="13">
        <v>19</v>
      </c>
      <c r="D258" s="13">
        <v>92</v>
      </c>
      <c r="E258" s="13">
        <v>232</v>
      </c>
      <c r="F258" s="18">
        <v>206.86363636363637</v>
      </c>
      <c r="G258" s="13">
        <v>217.5</v>
      </c>
      <c r="H258" s="18">
        <v>293</v>
      </c>
      <c r="I258" s="13" t="e">
        <f t="shared" si="3"/>
        <v>#REF!</v>
      </c>
    </row>
    <row r="259" spans="1:9" x14ac:dyDescent="0.25">
      <c r="A259" s="17" t="e">
        <f>+MATCH($B259,#REF!,0)</f>
        <v>#REF!</v>
      </c>
      <c r="B259" s="1" t="s">
        <v>216</v>
      </c>
      <c r="C259" s="13">
        <v>19</v>
      </c>
      <c r="D259" s="13">
        <v>69</v>
      </c>
      <c r="E259" s="13">
        <v>223</v>
      </c>
      <c r="F259" s="18">
        <v>201.68181818181819</v>
      </c>
      <c r="G259" s="13">
        <v>218</v>
      </c>
      <c r="H259" s="18">
        <v>285.60000000000002</v>
      </c>
      <c r="I259" s="13" t="e">
        <f t="shared" si="3"/>
        <v>#REF!</v>
      </c>
    </row>
    <row r="260" spans="1:9" x14ac:dyDescent="0.25">
      <c r="A260" s="17" t="e">
        <f>+MATCH($B260,#REF!,0)</f>
        <v>#REF!</v>
      </c>
      <c r="B260" s="1" t="s">
        <v>401</v>
      </c>
      <c r="C260" s="13">
        <v>20</v>
      </c>
      <c r="D260" s="13">
        <v>173</v>
      </c>
      <c r="E260" s="13">
        <v>227</v>
      </c>
      <c r="F260" s="18">
        <v>204.13636363636363</v>
      </c>
      <c r="G260" s="13">
        <v>209.5</v>
      </c>
      <c r="H260" s="18">
        <v>272.40000000000009</v>
      </c>
      <c r="I260" s="13" t="e">
        <f t="shared" ref="I260:I266" si="4">MAX(0,A260-G260)</f>
        <v>#REF!</v>
      </c>
    </row>
    <row r="261" spans="1:9" x14ac:dyDescent="0.25">
      <c r="A261" s="17" t="e">
        <f>+MATCH($B261,#REF!,0)</f>
        <v>#REF!</v>
      </c>
      <c r="B261" s="1" t="s">
        <v>255</v>
      </c>
      <c r="C261" s="13">
        <v>14</v>
      </c>
      <c r="D261" s="13">
        <v>248</v>
      </c>
      <c r="E261" s="13">
        <v>258</v>
      </c>
      <c r="F261" s="18">
        <v>254.40909090909091</v>
      </c>
      <c r="G261" s="13">
        <v>255</v>
      </c>
      <c r="H261" s="18">
        <v>270.49847708551596</v>
      </c>
      <c r="I261" s="13" t="e">
        <f t="shared" si="4"/>
        <v>#REF!</v>
      </c>
    </row>
    <row r="262" spans="1:9" x14ac:dyDescent="0.25">
      <c r="A262" s="17" t="e">
        <f>+MATCH($B262,#REF!,0)</f>
        <v>#REF!</v>
      </c>
      <c r="B262" s="1" t="s">
        <v>386</v>
      </c>
      <c r="C262" s="13">
        <v>19</v>
      </c>
      <c r="D262" s="13">
        <v>203</v>
      </c>
      <c r="E262" s="13">
        <v>240</v>
      </c>
      <c r="F262" s="18">
        <v>223.18181818181819</v>
      </c>
      <c r="G262" s="13">
        <v>221</v>
      </c>
      <c r="H262" s="18">
        <v>261.70000000000005</v>
      </c>
      <c r="I262" s="13" t="e">
        <f t="shared" si="4"/>
        <v>#REF!</v>
      </c>
    </row>
    <row r="263" spans="1:9" x14ac:dyDescent="0.25">
      <c r="A263" s="17" t="e">
        <f>+MATCH($B263,#REF!,0)</f>
        <v>#REF!</v>
      </c>
      <c r="B263" s="1" t="s">
        <v>241</v>
      </c>
      <c r="C263" s="13">
        <v>18</v>
      </c>
      <c r="D263" s="13">
        <v>161</v>
      </c>
      <c r="E263" s="13">
        <v>235</v>
      </c>
      <c r="F263" s="18">
        <v>217.09090909090909</v>
      </c>
      <c r="G263" s="13">
        <v>219</v>
      </c>
      <c r="H263" s="18">
        <v>239.31089677017508</v>
      </c>
      <c r="I263" s="13" t="e">
        <f t="shared" si="4"/>
        <v>#REF!</v>
      </c>
    </row>
    <row r="264" spans="1:9" x14ac:dyDescent="0.25">
      <c r="A264" s="17" t="e">
        <f>+MATCH($B264,#REF!,0)</f>
        <v>#REF!</v>
      </c>
      <c r="B264" s="1" t="s">
        <v>372</v>
      </c>
      <c r="C264" s="13">
        <v>15</v>
      </c>
      <c r="D264" s="13">
        <v>237</v>
      </c>
      <c r="E264" s="13">
        <v>256</v>
      </c>
      <c r="F264" s="18">
        <v>250.31818181818181</v>
      </c>
      <c r="G264" s="13">
        <v>252</v>
      </c>
      <c r="H264" s="18">
        <v>195.988121767454</v>
      </c>
      <c r="I264" s="13" t="e">
        <f t="shared" si="4"/>
        <v>#REF!</v>
      </c>
    </row>
    <row r="265" spans="1:9" x14ac:dyDescent="0.25">
      <c r="A265" s="17" t="e">
        <f>+MATCH($B265,#REF!,0)</f>
        <v>#REF!</v>
      </c>
      <c r="B265" s="1" t="s">
        <v>380</v>
      </c>
      <c r="C265" s="13">
        <v>9</v>
      </c>
      <c r="D265" s="13">
        <v>233</v>
      </c>
      <c r="E265" s="13">
        <v>261</v>
      </c>
      <c r="F265" s="18">
        <v>256.72727272727275</v>
      </c>
      <c r="G265" s="13">
        <v>259</v>
      </c>
      <c r="H265" s="18">
        <v>184</v>
      </c>
      <c r="I265" s="13" t="e">
        <f t="shared" si="4"/>
        <v>#REF!</v>
      </c>
    </row>
    <row r="266" spans="1:9" x14ac:dyDescent="0.25">
      <c r="A266" s="17" t="e">
        <f>+MATCH($B266,#REF!,0)</f>
        <v>#REF!</v>
      </c>
      <c r="B266" s="1" t="s">
        <v>350</v>
      </c>
      <c r="C266" s="13">
        <v>2</v>
      </c>
      <c r="D266" s="13">
        <v>263</v>
      </c>
      <c r="E266" s="13">
        <v>263</v>
      </c>
      <c r="F266" s="18">
        <v>263</v>
      </c>
      <c r="G266" s="13">
        <v>263</v>
      </c>
      <c r="H266" s="18">
        <v>81.149543125654787</v>
      </c>
      <c r="I266" s="13" t="e">
        <f t="shared" si="4"/>
        <v>#REF!</v>
      </c>
    </row>
  </sheetData>
  <autoFilter ref="A3:I266" xr:uid="{0A6B92A7-C10D-4A5C-8380-575E3DAA4E75}">
    <sortState xmlns:xlrd2="http://schemas.microsoft.com/office/spreadsheetml/2017/richdata2" ref="A4:I266">
      <sortCondition descending="1" ref="H3:H266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4556ac0-1d1c-413d-8675-c9814987e85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1FD038D219C24F8BD25C287B8C367E" ma:contentTypeVersion="13" ma:contentTypeDescription="Create a new document." ma:contentTypeScope="" ma:versionID="7c920fce8ceb53cab2830b3f56a3bae5">
  <xsd:schema xmlns:xsd="http://www.w3.org/2001/XMLSchema" xmlns:xs="http://www.w3.org/2001/XMLSchema" xmlns:p="http://schemas.microsoft.com/office/2006/metadata/properties" xmlns:ns3="c4556ac0-1d1c-413d-8675-c9814987e853" xmlns:ns4="44c31cc7-6817-445a-beb8-fc6a3c060296" targetNamespace="http://schemas.microsoft.com/office/2006/metadata/properties" ma:root="true" ma:fieldsID="5a8d011d4eacf91accbb215932fc5b5d" ns3:_="" ns4:_="">
    <xsd:import namespace="c4556ac0-1d1c-413d-8675-c9814987e853"/>
    <xsd:import namespace="44c31cc7-6817-445a-beb8-fc6a3c06029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556ac0-1d1c-413d-8675-c9814987e8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c31cc7-6817-445a-beb8-fc6a3c06029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7E787E-DD91-4EB4-A76B-7742F69D8549}">
  <ds:schemaRefs>
    <ds:schemaRef ds:uri="http://schemas.openxmlformats.org/package/2006/metadata/core-properties"/>
    <ds:schemaRef ds:uri="44c31cc7-6817-445a-beb8-fc6a3c060296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c4556ac0-1d1c-413d-8675-c9814987e853"/>
    <ds:schemaRef ds:uri="http://purl.org/dc/terms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CDFFB12-68B3-49F8-86E9-99A80E68E4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556ac0-1d1c-413d-8675-c9814987e853"/>
    <ds:schemaRef ds:uri="44c31cc7-6817-445a-beb8-fc6a3c0602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B9D923-082D-431E-B696-D091FBC131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RandomTeams</vt:lpstr>
      <vt:lpstr>email</vt:lpstr>
      <vt:lpstr>Sheet1</vt:lpstr>
    </vt:vector>
  </TitlesOfParts>
  <Company>Mercer Human Resource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van den Doel</dc:creator>
  <cp:lastModifiedBy>Maarten Kort</cp:lastModifiedBy>
  <cp:lastPrinted>2026-07-12T23:39:52Z</cp:lastPrinted>
  <dcterms:created xsi:type="dcterms:W3CDTF">2005-06-06T19:06:53Z</dcterms:created>
  <dcterms:modified xsi:type="dcterms:W3CDTF">2026-07-16T06:34:31Z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2022-06-28T11:09:59Z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02543a35-6aa3-4d6c-9574-8a12b63d8b39</vt:lpwstr>
  </property>
  <property fmtid="{D5CDD505-2E9C-101B-9397-08002B2CF9AE}" pid="8" name="MSIP_Label_38f1469a-2c2a-4aee-b92b-090d4c5468ff_ContentBits">
    <vt:lpwstr>0</vt:lpwstr>
  </property>
  <property fmtid="{D5CDD505-2E9C-101B-9397-08002B2CF9AE}" pid="9" name="ContentTypeId">
    <vt:lpwstr>0x0101007F1FD038D219C24F8BD25C287B8C367E</vt:lpwstr>
  </property>
</Properties>
</file>